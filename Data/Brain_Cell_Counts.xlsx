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GitHub\BrainGonadTradeoff\Data\"/>
    </mc:Choice>
  </mc:AlternateContent>
  <xr:revisionPtr revIDLastSave="0" documentId="13_ncr:1_{3CEB0B8A-FB56-4D4C-8A69-2BF16AEDC756}" xr6:coauthVersionLast="47" xr6:coauthVersionMax="47" xr10:uidLastSave="{00000000-0000-0000-0000-000000000000}"/>
  <bookViews>
    <workbookView xWindow="-110" yWindow="-110" windowWidth="25820" windowHeight="15500" firstSheet="2" activeTab="2" xr2:uid="{1595E020-4D82-4506-AB13-A6CC8D8E83A5}"/>
  </bookViews>
  <sheets>
    <sheet name="Total Cell Counts" sheetId="1" r:id="rId1"/>
    <sheet name="Filtered Total Cell Counts" sheetId="2" r:id="rId2"/>
    <sheet name="Neuron to Glia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3" l="1"/>
  <c r="R59" i="3"/>
  <c r="O59" i="3"/>
  <c r="O58" i="3"/>
  <c r="K47" i="3"/>
  <c r="B47" i="3" s="1"/>
  <c r="H47" i="3"/>
  <c r="B5" i="3"/>
  <c r="B6" i="3"/>
  <c r="B7" i="3"/>
  <c r="B8" i="3"/>
  <c r="B9" i="3"/>
  <c r="B10" i="3"/>
  <c r="B11" i="3"/>
  <c r="B12" i="3"/>
  <c r="B14" i="3"/>
  <c r="B15" i="3"/>
  <c r="B16" i="3"/>
  <c r="B18" i="3"/>
  <c r="B22" i="3"/>
  <c r="B23" i="3"/>
  <c r="B29" i="3"/>
  <c r="B32" i="3"/>
  <c r="B33" i="3"/>
  <c r="B34" i="3"/>
  <c r="B35" i="3"/>
  <c r="B40" i="3"/>
  <c r="B41" i="3"/>
  <c r="B42" i="3"/>
  <c r="B43" i="3"/>
  <c r="B44" i="3"/>
  <c r="B45" i="3"/>
  <c r="B46" i="3"/>
  <c r="B48" i="3"/>
  <c r="B49" i="3"/>
  <c r="B50" i="3"/>
  <c r="B51" i="3"/>
  <c r="B52" i="3"/>
  <c r="B53" i="3"/>
  <c r="B54" i="3"/>
  <c r="B55" i="3"/>
  <c r="B56" i="3"/>
  <c r="B57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O45" i="1"/>
  <c r="G89" i="3"/>
  <c r="F89" i="3"/>
  <c r="H89" i="3" s="1"/>
  <c r="G88" i="3"/>
  <c r="F88" i="3"/>
  <c r="H88" i="3" s="1"/>
  <c r="H87" i="3"/>
  <c r="G86" i="3"/>
  <c r="F86" i="3"/>
  <c r="V85" i="3"/>
  <c r="W85" i="3" s="1"/>
  <c r="T85" i="3"/>
  <c r="S85" i="3"/>
  <c r="P85" i="3"/>
  <c r="Q85" i="3" s="1"/>
  <c r="M85" i="3"/>
  <c r="N85" i="3" s="1"/>
  <c r="K85" i="3"/>
  <c r="J85" i="3"/>
  <c r="G85" i="3"/>
  <c r="V84" i="3"/>
  <c r="W84" i="3" s="1"/>
  <c r="S84" i="3"/>
  <c r="T84" i="3" s="1"/>
  <c r="P84" i="3"/>
  <c r="Q84" i="3" s="1"/>
  <c r="M84" i="3"/>
  <c r="N84" i="3" s="1"/>
  <c r="J84" i="3"/>
  <c r="K84" i="3" s="1"/>
  <c r="H84" i="3"/>
  <c r="W83" i="3"/>
  <c r="T83" i="3"/>
  <c r="Q83" i="3"/>
  <c r="N83" i="3"/>
  <c r="K83" i="3"/>
  <c r="H83" i="3"/>
  <c r="W82" i="3"/>
  <c r="T82" i="3"/>
  <c r="Q82" i="3"/>
  <c r="N82" i="3"/>
  <c r="K82" i="3"/>
  <c r="H82" i="3"/>
  <c r="W81" i="3"/>
  <c r="T81" i="3"/>
  <c r="Q81" i="3"/>
  <c r="N81" i="3"/>
  <c r="K81" i="3"/>
  <c r="H81" i="3"/>
  <c r="W80" i="3"/>
  <c r="T80" i="3"/>
  <c r="Q80" i="3"/>
  <c r="N80" i="3"/>
  <c r="K80" i="3"/>
  <c r="H80" i="3"/>
  <c r="H78" i="3"/>
  <c r="G77" i="3"/>
  <c r="F77" i="3"/>
  <c r="H77" i="3" s="1"/>
  <c r="H76" i="3"/>
  <c r="G76" i="3"/>
  <c r="F76" i="3"/>
  <c r="G75" i="3"/>
  <c r="F75" i="3"/>
  <c r="G74" i="3"/>
  <c r="F74" i="3"/>
  <c r="G73" i="3"/>
  <c r="F73" i="3"/>
  <c r="H73" i="3" s="1"/>
  <c r="W72" i="3"/>
  <c r="T72" i="3"/>
  <c r="Q72" i="3"/>
  <c r="N72" i="3"/>
  <c r="K72" i="3"/>
  <c r="H72" i="3"/>
  <c r="W71" i="3"/>
  <c r="T71" i="3"/>
  <c r="Q71" i="3"/>
  <c r="N71" i="3"/>
  <c r="K71" i="3"/>
  <c r="H71" i="3"/>
  <c r="W70" i="3"/>
  <c r="T70" i="3"/>
  <c r="Q70" i="3"/>
  <c r="N70" i="3"/>
  <c r="K70" i="3"/>
  <c r="H70" i="3"/>
  <c r="W69" i="3"/>
  <c r="T69" i="3"/>
  <c r="Q69" i="3"/>
  <c r="N69" i="3"/>
  <c r="K69" i="3"/>
  <c r="H69" i="3"/>
  <c r="Z67" i="3"/>
  <c r="W67" i="3"/>
  <c r="T67" i="3"/>
  <c r="Q67" i="3"/>
  <c r="N67" i="3"/>
  <c r="K67" i="3"/>
  <c r="H67" i="3"/>
  <c r="H75" i="3" l="1"/>
  <c r="H85" i="3"/>
  <c r="H86" i="3"/>
  <c r="H74" i="3"/>
  <c r="G65" i="3"/>
  <c r="F65" i="3"/>
  <c r="G64" i="3"/>
  <c r="F64" i="3"/>
  <c r="G63" i="3"/>
  <c r="F63" i="3"/>
  <c r="G62" i="3"/>
  <c r="F62" i="3"/>
  <c r="V61" i="3"/>
  <c r="W61" i="3" s="1"/>
  <c r="S61" i="3"/>
  <c r="T61" i="3" s="1"/>
  <c r="P61" i="3"/>
  <c r="Q61" i="3" s="1"/>
  <c r="M61" i="3"/>
  <c r="N61" i="3" s="1"/>
  <c r="J61" i="3"/>
  <c r="K61" i="3" s="1"/>
  <c r="G61" i="3"/>
  <c r="H61" i="3" s="1"/>
  <c r="V60" i="3"/>
  <c r="W60" i="3" s="1"/>
  <c r="S60" i="3"/>
  <c r="R60" i="3"/>
  <c r="P60" i="3"/>
  <c r="Q60" i="3" s="1"/>
  <c r="M60" i="3"/>
  <c r="N60" i="3" s="1"/>
  <c r="J60" i="3"/>
  <c r="K60" i="3" s="1"/>
  <c r="B60" i="3" s="1"/>
  <c r="G60" i="3"/>
  <c r="F60" i="3"/>
  <c r="H60" i="3" s="1"/>
  <c r="V59" i="3"/>
  <c r="W59" i="3" s="1"/>
  <c r="S59" i="3"/>
  <c r="P59" i="3"/>
  <c r="M59" i="3"/>
  <c r="N59" i="3" s="1"/>
  <c r="J59" i="3"/>
  <c r="K59" i="3" s="1"/>
  <c r="G59" i="3"/>
  <c r="H59" i="3" s="1"/>
  <c r="V58" i="3"/>
  <c r="W58" i="3" s="1"/>
  <c r="S58" i="3"/>
  <c r="T58" i="3" s="1"/>
  <c r="P58" i="3"/>
  <c r="M58" i="3"/>
  <c r="N58" i="3" s="1"/>
  <c r="J58" i="3"/>
  <c r="K58" i="3" s="1"/>
  <c r="G58" i="3"/>
  <c r="H58" i="3" s="1"/>
  <c r="G54" i="3"/>
  <c r="F54" i="3"/>
  <c r="G53" i="3"/>
  <c r="F53" i="3"/>
  <c r="G52" i="3"/>
  <c r="F52" i="3"/>
  <c r="G51" i="3"/>
  <c r="F51" i="3"/>
  <c r="V50" i="3"/>
  <c r="W50" i="3" s="1"/>
  <c r="S50" i="3"/>
  <c r="T50" i="3" s="1"/>
  <c r="P50" i="3"/>
  <c r="Q50" i="3" s="1"/>
  <c r="M50" i="3"/>
  <c r="N50" i="3" s="1"/>
  <c r="J50" i="3"/>
  <c r="I50" i="3"/>
  <c r="G50" i="3"/>
  <c r="H50" i="3" s="1"/>
  <c r="V49" i="3"/>
  <c r="W49" i="3" s="1"/>
  <c r="S49" i="3"/>
  <c r="T49" i="3" s="1"/>
  <c r="P49" i="3"/>
  <c r="Q49" i="3" s="1"/>
  <c r="M49" i="3"/>
  <c r="N49" i="3" s="1"/>
  <c r="J49" i="3"/>
  <c r="K49" i="3" s="1"/>
  <c r="G49" i="3"/>
  <c r="F49" i="3"/>
  <c r="V48" i="3"/>
  <c r="W48" i="3" s="1"/>
  <c r="S48" i="3"/>
  <c r="T48" i="3" s="1"/>
  <c r="P48" i="3"/>
  <c r="O48" i="3"/>
  <c r="Q48" i="3" s="1"/>
  <c r="M48" i="3"/>
  <c r="L48" i="3"/>
  <c r="J48" i="3"/>
  <c r="I48" i="3"/>
  <c r="G48" i="3"/>
  <c r="F48" i="3"/>
  <c r="V47" i="3"/>
  <c r="U47" i="3"/>
  <c r="W47" i="3" s="1"/>
  <c r="S47" i="3"/>
  <c r="T47" i="3" s="1"/>
  <c r="P47" i="3"/>
  <c r="Q47" i="3" s="1"/>
  <c r="M47" i="3"/>
  <c r="N47" i="3" s="1"/>
  <c r="G44" i="3"/>
  <c r="F44" i="3"/>
  <c r="G43" i="3"/>
  <c r="F43" i="3"/>
  <c r="G42" i="3"/>
  <c r="F42" i="3"/>
  <c r="G41" i="3"/>
  <c r="F41" i="3"/>
  <c r="W39" i="3"/>
  <c r="T39" i="3"/>
  <c r="Q39" i="3"/>
  <c r="N39" i="3"/>
  <c r="K39" i="3"/>
  <c r="H39" i="3"/>
  <c r="B39" i="3" s="1"/>
  <c r="W38" i="3"/>
  <c r="T38" i="3"/>
  <c r="Q38" i="3"/>
  <c r="N38" i="3"/>
  <c r="K38" i="3"/>
  <c r="B38" i="3" s="1"/>
  <c r="H38" i="3"/>
  <c r="W37" i="3"/>
  <c r="T37" i="3"/>
  <c r="Q37" i="3"/>
  <c r="N37" i="3"/>
  <c r="K37" i="3"/>
  <c r="H37" i="3"/>
  <c r="W36" i="3"/>
  <c r="T36" i="3"/>
  <c r="Q36" i="3"/>
  <c r="N36" i="3"/>
  <c r="K36" i="3"/>
  <c r="H36" i="3"/>
  <c r="W32" i="3"/>
  <c r="T32" i="3"/>
  <c r="Q32" i="3"/>
  <c r="N32" i="3"/>
  <c r="K32" i="3"/>
  <c r="H32" i="3"/>
  <c r="W31" i="3"/>
  <c r="T31" i="3"/>
  <c r="Q31" i="3"/>
  <c r="N31" i="3"/>
  <c r="K31" i="3"/>
  <c r="H31" i="3"/>
  <c r="W30" i="3"/>
  <c r="T30" i="3"/>
  <c r="Q30" i="3"/>
  <c r="N30" i="3"/>
  <c r="K30" i="3"/>
  <c r="H30" i="3"/>
  <c r="W29" i="3"/>
  <c r="T29" i="3"/>
  <c r="Q29" i="3"/>
  <c r="N29" i="3"/>
  <c r="K29" i="3"/>
  <c r="H29" i="3"/>
  <c r="W28" i="3"/>
  <c r="T28" i="3"/>
  <c r="Q28" i="3"/>
  <c r="B28" i="3" s="1"/>
  <c r="N28" i="3"/>
  <c r="K28" i="3"/>
  <c r="H28" i="3"/>
  <c r="W27" i="3"/>
  <c r="T27" i="3"/>
  <c r="Q27" i="3"/>
  <c r="N27" i="3"/>
  <c r="K27" i="3"/>
  <c r="H27" i="3"/>
  <c r="W26" i="3"/>
  <c r="T26" i="3"/>
  <c r="Q26" i="3"/>
  <c r="N26" i="3"/>
  <c r="K26" i="3"/>
  <c r="H26" i="3"/>
  <c r="B26" i="3" s="1"/>
  <c r="W25" i="3"/>
  <c r="T25" i="3"/>
  <c r="Q25" i="3"/>
  <c r="N25" i="3"/>
  <c r="K25" i="3"/>
  <c r="H25" i="3"/>
  <c r="W23" i="3"/>
  <c r="T23" i="3"/>
  <c r="Q23" i="3"/>
  <c r="N23" i="3"/>
  <c r="K23" i="3"/>
  <c r="H23" i="3"/>
  <c r="W22" i="3"/>
  <c r="T22" i="3"/>
  <c r="Q22" i="3"/>
  <c r="N22" i="3"/>
  <c r="K22" i="3"/>
  <c r="H22" i="3"/>
  <c r="W21" i="3"/>
  <c r="T21" i="3"/>
  <c r="Q21" i="3"/>
  <c r="N21" i="3"/>
  <c r="K21" i="3"/>
  <c r="H21" i="3"/>
  <c r="B21" i="3" s="1"/>
  <c r="W20" i="3"/>
  <c r="T20" i="3"/>
  <c r="Q20" i="3"/>
  <c r="N20" i="3"/>
  <c r="K20" i="3"/>
  <c r="H20" i="3"/>
  <c r="W19" i="3"/>
  <c r="T19" i="3"/>
  <c r="B19" i="3" s="1"/>
  <c r="Q19" i="3"/>
  <c r="N19" i="3"/>
  <c r="K19" i="3"/>
  <c r="H19" i="3"/>
  <c r="W18" i="3"/>
  <c r="T18" i="3"/>
  <c r="Q18" i="3"/>
  <c r="N18" i="3"/>
  <c r="K18" i="3"/>
  <c r="H18" i="3"/>
  <c r="W17" i="3"/>
  <c r="T17" i="3"/>
  <c r="Q17" i="3"/>
  <c r="N17" i="3"/>
  <c r="K17" i="3"/>
  <c r="H17" i="3"/>
  <c r="B17" i="3" s="1"/>
  <c r="W16" i="3"/>
  <c r="T16" i="3"/>
  <c r="Q16" i="3"/>
  <c r="N16" i="3"/>
  <c r="K16" i="3"/>
  <c r="H16" i="3"/>
  <c r="W15" i="3"/>
  <c r="T15" i="3"/>
  <c r="Q15" i="3"/>
  <c r="N15" i="3"/>
  <c r="K15" i="3"/>
  <c r="H15" i="3"/>
  <c r="W14" i="3"/>
  <c r="T14" i="3"/>
  <c r="Q14" i="3"/>
  <c r="N14" i="3"/>
  <c r="K14" i="3"/>
  <c r="H14" i="3"/>
  <c r="W12" i="3"/>
  <c r="T12" i="3"/>
  <c r="Q12" i="3"/>
  <c r="N12" i="3"/>
  <c r="K12" i="3"/>
  <c r="H12" i="3"/>
  <c r="W11" i="3"/>
  <c r="T11" i="3"/>
  <c r="Q11" i="3"/>
  <c r="N11" i="3"/>
  <c r="K11" i="3"/>
  <c r="H11" i="3"/>
  <c r="W10" i="3"/>
  <c r="T10" i="3"/>
  <c r="Q10" i="3"/>
  <c r="N10" i="3"/>
  <c r="K10" i="3"/>
  <c r="H10" i="3"/>
  <c r="W9" i="3"/>
  <c r="T9" i="3"/>
  <c r="Q9" i="3"/>
  <c r="N9" i="3"/>
  <c r="K9" i="3"/>
  <c r="H9" i="3"/>
  <c r="W8" i="3"/>
  <c r="T8" i="3"/>
  <c r="Q8" i="3"/>
  <c r="N8" i="3"/>
  <c r="K8" i="3"/>
  <c r="H8" i="3"/>
  <c r="W7" i="3"/>
  <c r="T7" i="3"/>
  <c r="Q7" i="3"/>
  <c r="N7" i="3"/>
  <c r="K7" i="3"/>
  <c r="H7" i="3"/>
  <c r="W6" i="3"/>
  <c r="T6" i="3"/>
  <c r="Q6" i="3"/>
  <c r="N6" i="3"/>
  <c r="K6" i="3"/>
  <c r="H6" i="3"/>
  <c r="W5" i="3"/>
  <c r="T5" i="3"/>
  <c r="Q5" i="3"/>
  <c r="N5" i="3"/>
  <c r="K5" i="3"/>
  <c r="H5" i="3"/>
  <c r="W4" i="3"/>
  <c r="T4" i="3"/>
  <c r="Q4" i="3"/>
  <c r="N4" i="3"/>
  <c r="K4" i="3"/>
  <c r="H4" i="3"/>
  <c r="W3" i="3"/>
  <c r="T3" i="3"/>
  <c r="Q3" i="3"/>
  <c r="N3" i="3"/>
  <c r="K3" i="3"/>
  <c r="H3" i="3"/>
  <c r="O89" i="2"/>
  <c r="P89" i="2" s="1"/>
  <c r="M89" i="2"/>
  <c r="N89" i="2" s="1"/>
  <c r="P88" i="2"/>
  <c r="O88" i="2"/>
  <c r="M88" i="2"/>
  <c r="N88" i="2" s="1"/>
  <c r="O87" i="2"/>
  <c r="P87" i="2" s="1"/>
  <c r="M87" i="2"/>
  <c r="N87" i="2" s="1"/>
  <c r="P86" i="2"/>
  <c r="O86" i="2"/>
  <c r="M86" i="2"/>
  <c r="N86" i="2" s="1"/>
  <c r="O85" i="2"/>
  <c r="P85" i="2" s="1"/>
  <c r="M85" i="2"/>
  <c r="N85" i="2" s="1"/>
  <c r="P84" i="2"/>
  <c r="O84" i="2"/>
  <c r="M84" i="2"/>
  <c r="N84" i="2" s="1"/>
  <c r="O83" i="2"/>
  <c r="P83" i="2" s="1"/>
  <c r="M83" i="2"/>
  <c r="N83" i="2" s="1"/>
  <c r="P82" i="2"/>
  <c r="O82" i="2"/>
  <c r="M82" i="2"/>
  <c r="N82" i="2" s="1"/>
  <c r="O81" i="2"/>
  <c r="P81" i="2" s="1"/>
  <c r="M81" i="2"/>
  <c r="N81" i="2" s="1"/>
  <c r="P80" i="2"/>
  <c r="O80" i="2"/>
  <c r="M80" i="2"/>
  <c r="N80" i="2" s="1"/>
  <c r="O78" i="2"/>
  <c r="P78" i="2" s="1"/>
  <c r="M78" i="2"/>
  <c r="N78" i="2" s="1"/>
  <c r="P77" i="2"/>
  <c r="O77" i="2"/>
  <c r="M77" i="2"/>
  <c r="N77" i="2" s="1"/>
  <c r="O76" i="2"/>
  <c r="P76" i="2" s="1"/>
  <c r="M76" i="2"/>
  <c r="N76" i="2" s="1"/>
  <c r="P75" i="2"/>
  <c r="O75" i="2"/>
  <c r="M75" i="2"/>
  <c r="N75" i="2" s="1"/>
  <c r="O74" i="2"/>
  <c r="P74" i="2" s="1"/>
  <c r="M74" i="2"/>
  <c r="N74" i="2" s="1"/>
  <c r="P73" i="2"/>
  <c r="O73" i="2"/>
  <c r="M73" i="2"/>
  <c r="N73" i="2" s="1"/>
  <c r="O72" i="2"/>
  <c r="P72" i="2" s="1"/>
  <c r="M72" i="2"/>
  <c r="N72" i="2" s="1"/>
  <c r="P71" i="2"/>
  <c r="O71" i="2"/>
  <c r="M71" i="2"/>
  <c r="N71" i="2" s="1"/>
  <c r="O70" i="2"/>
  <c r="P70" i="2" s="1"/>
  <c r="M70" i="2"/>
  <c r="N70" i="2" s="1"/>
  <c r="P69" i="2"/>
  <c r="O69" i="2"/>
  <c r="M69" i="2"/>
  <c r="N69" i="2" s="1"/>
  <c r="C67" i="2"/>
  <c r="O67" i="2" s="1"/>
  <c r="O66" i="2"/>
  <c r="P66" i="2" s="1"/>
  <c r="N66" i="2"/>
  <c r="M66" i="2"/>
  <c r="O65" i="2"/>
  <c r="M65" i="2"/>
  <c r="P65" i="2" s="1"/>
  <c r="O64" i="2"/>
  <c r="P64" i="2" s="1"/>
  <c r="N64" i="2"/>
  <c r="M64" i="2"/>
  <c r="O63" i="2"/>
  <c r="M63" i="2"/>
  <c r="P63" i="2" s="1"/>
  <c r="O62" i="2"/>
  <c r="P62" i="2" s="1"/>
  <c r="N62" i="2"/>
  <c r="M62" i="2"/>
  <c r="O61" i="2"/>
  <c r="M61" i="2"/>
  <c r="P61" i="2" s="1"/>
  <c r="O60" i="2"/>
  <c r="P60" i="2" s="1"/>
  <c r="N60" i="2"/>
  <c r="M60" i="2"/>
  <c r="O59" i="2"/>
  <c r="M59" i="2"/>
  <c r="P59" i="2" s="1"/>
  <c r="O58" i="2"/>
  <c r="P58" i="2" s="1"/>
  <c r="N58" i="2"/>
  <c r="M58" i="2"/>
  <c r="O56" i="2"/>
  <c r="M56" i="2"/>
  <c r="P56" i="2" s="1"/>
  <c r="O55" i="2"/>
  <c r="P55" i="2" s="1"/>
  <c r="N55" i="2"/>
  <c r="M55" i="2"/>
  <c r="O54" i="2"/>
  <c r="M54" i="2"/>
  <c r="P54" i="2" s="1"/>
  <c r="O53" i="2"/>
  <c r="P53" i="2" s="1"/>
  <c r="N53" i="2"/>
  <c r="M53" i="2"/>
  <c r="O52" i="2"/>
  <c r="M52" i="2"/>
  <c r="P52" i="2" s="1"/>
  <c r="O51" i="2"/>
  <c r="P51" i="2" s="1"/>
  <c r="N51" i="2"/>
  <c r="M51" i="2"/>
  <c r="O50" i="2"/>
  <c r="M50" i="2"/>
  <c r="P50" i="2" s="1"/>
  <c r="O49" i="2"/>
  <c r="P49" i="2" s="1"/>
  <c r="N49" i="2"/>
  <c r="M49" i="2"/>
  <c r="O48" i="2"/>
  <c r="M48" i="2"/>
  <c r="P48" i="2" s="1"/>
  <c r="O47" i="2"/>
  <c r="P47" i="2" s="1"/>
  <c r="N47" i="2"/>
  <c r="M47" i="2"/>
  <c r="O45" i="2"/>
  <c r="M45" i="2"/>
  <c r="P45" i="2" s="1"/>
  <c r="O44" i="2"/>
  <c r="P44" i="2" s="1"/>
  <c r="N44" i="2"/>
  <c r="M44" i="2"/>
  <c r="O43" i="2"/>
  <c r="M43" i="2"/>
  <c r="P43" i="2" s="1"/>
  <c r="O42" i="2"/>
  <c r="P42" i="2" s="1"/>
  <c r="N42" i="2"/>
  <c r="M42" i="2"/>
  <c r="O41" i="2"/>
  <c r="M41" i="2"/>
  <c r="P41" i="2" s="1"/>
  <c r="O40" i="2"/>
  <c r="P40" i="2" s="1"/>
  <c r="N40" i="2"/>
  <c r="M40" i="2"/>
  <c r="O39" i="2"/>
  <c r="M39" i="2"/>
  <c r="P39" i="2" s="1"/>
  <c r="O38" i="2"/>
  <c r="P38" i="2" s="1"/>
  <c r="N38" i="2"/>
  <c r="M38" i="2"/>
  <c r="O37" i="2"/>
  <c r="M37" i="2"/>
  <c r="P37" i="2" s="1"/>
  <c r="O36" i="2"/>
  <c r="P36" i="2" s="1"/>
  <c r="N36" i="2"/>
  <c r="M36" i="2"/>
  <c r="O34" i="2"/>
  <c r="M34" i="2"/>
  <c r="P34" i="2" s="1"/>
  <c r="O33" i="2"/>
  <c r="P33" i="2" s="1"/>
  <c r="N33" i="2"/>
  <c r="M33" i="2"/>
  <c r="O32" i="2"/>
  <c r="M32" i="2"/>
  <c r="P32" i="2" s="1"/>
  <c r="O31" i="2"/>
  <c r="P31" i="2" s="1"/>
  <c r="N31" i="2"/>
  <c r="M31" i="2"/>
  <c r="O30" i="2"/>
  <c r="M30" i="2"/>
  <c r="P30" i="2" s="1"/>
  <c r="O29" i="2"/>
  <c r="P29" i="2" s="1"/>
  <c r="N29" i="2"/>
  <c r="M29" i="2"/>
  <c r="O28" i="2"/>
  <c r="M28" i="2"/>
  <c r="P28" i="2" s="1"/>
  <c r="O27" i="2"/>
  <c r="P27" i="2" s="1"/>
  <c r="N27" i="2"/>
  <c r="M27" i="2"/>
  <c r="O26" i="2"/>
  <c r="M26" i="2"/>
  <c r="P26" i="2" s="1"/>
  <c r="O25" i="2"/>
  <c r="P25" i="2" s="1"/>
  <c r="N25" i="2"/>
  <c r="M25" i="2"/>
  <c r="O23" i="2"/>
  <c r="P23" i="2" s="1"/>
  <c r="N23" i="2"/>
  <c r="M23" i="2"/>
  <c r="O22" i="2"/>
  <c r="P22" i="2" s="1"/>
  <c r="M22" i="2"/>
  <c r="N22" i="2" s="1"/>
  <c r="O21" i="2"/>
  <c r="P21" i="2" s="1"/>
  <c r="N21" i="2"/>
  <c r="M21" i="2"/>
  <c r="O20" i="2"/>
  <c r="P20" i="2" s="1"/>
  <c r="M20" i="2"/>
  <c r="N20" i="2" s="1"/>
  <c r="O19" i="2"/>
  <c r="P19" i="2" s="1"/>
  <c r="N19" i="2"/>
  <c r="M19" i="2"/>
  <c r="O18" i="2"/>
  <c r="P18" i="2" s="1"/>
  <c r="M18" i="2"/>
  <c r="N18" i="2" s="1"/>
  <c r="O17" i="2"/>
  <c r="P17" i="2" s="1"/>
  <c r="N17" i="2"/>
  <c r="M17" i="2"/>
  <c r="O16" i="2"/>
  <c r="P16" i="2" s="1"/>
  <c r="M16" i="2"/>
  <c r="N16" i="2" s="1"/>
  <c r="O15" i="2"/>
  <c r="P15" i="2" s="1"/>
  <c r="N15" i="2"/>
  <c r="M15" i="2"/>
  <c r="O14" i="2"/>
  <c r="P14" i="2" s="1"/>
  <c r="M14" i="2"/>
  <c r="N14" i="2" s="1"/>
  <c r="O12" i="2"/>
  <c r="P12" i="2" s="1"/>
  <c r="M12" i="2"/>
  <c r="N12" i="2" s="1"/>
  <c r="P11" i="2"/>
  <c r="O11" i="2"/>
  <c r="N11" i="2"/>
  <c r="M11" i="2"/>
  <c r="O10" i="2"/>
  <c r="P10" i="2" s="1"/>
  <c r="M10" i="2"/>
  <c r="N10" i="2" s="1"/>
  <c r="P9" i="2"/>
  <c r="O9" i="2"/>
  <c r="N9" i="2"/>
  <c r="M9" i="2"/>
  <c r="O8" i="2"/>
  <c r="P8" i="2" s="1"/>
  <c r="M8" i="2"/>
  <c r="N8" i="2" s="1"/>
  <c r="P7" i="2"/>
  <c r="O7" i="2"/>
  <c r="N7" i="2"/>
  <c r="M7" i="2"/>
  <c r="O6" i="2"/>
  <c r="P6" i="2" s="1"/>
  <c r="M6" i="2"/>
  <c r="N6" i="2" s="1"/>
  <c r="P5" i="2"/>
  <c r="O5" i="2"/>
  <c r="N5" i="2"/>
  <c r="M5" i="2"/>
  <c r="O4" i="2"/>
  <c r="P4" i="2" s="1"/>
  <c r="M4" i="2"/>
  <c r="N4" i="2" s="1"/>
  <c r="P3" i="2"/>
  <c r="O3" i="2"/>
  <c r="N3" i="2"/>
  <c r="M3" i="2"/>
  <c r="O89" i="1"/>
  <c r="M89" i="1"/>
  <c r="N89" i="1" s="1"/>
  <c r="O88" i="1"/>
  <c r="M88" i="1"/>
  <c r="N88" i="1" s="1"/>
  <c r="O87" i="1"/>
  <c r="M87" i="1"/>
  <c r="N87" i="1" s="1"/>
  <c r="O86" i="1"/>
  <c r="M86" i="1"/>
  <c r="N86" i="1" s="1"/>
  <c r="O85" i="1"/>
  <c r="M85" i="1"/>
  <c r="N85" i="1" s="1"/>
  <c r="O84" i="1"/>
  <c r="P84" i="1" s="1"/>
  <c r="M84" i="1"/>
  <c r="N84" i="1" s="1"/>
  <c r="O83" i="1"/>
  <c r="M83" i="1"/>
  <c r="N83" i="1" s="1"/>
  <c r="O82" i="1"/>
  <c r="M82" i="1"/>
  <c r="N82" i="1" s="1"/>
  <c r="O81" i="1"/>
  <c r="N81" i="1"/>
  <c r="M81" i="1"/>
  <c r="O80" i="1"/>
  <c r="P80" i="1" s="1"/>
  <c r="M80" i="1"/>
  <c r="N80" i="1" s="1"/>
  <c r="O78" i="1"/>
  <c r="M78" i="1"/>
  <c r="N78" i="1" s="1"/>
  <c r="O77" i="1"/>
  <c r="M77" i="1"/>
  <c r="P77" i="1" s="1"/>
  <c r="O76" i="1"/>
  <c r="P76" i="1" s="1"/>
  <c r="M76" i="1"/>
  <c r="N76" i="1" s="1"/>
  <c r="O75" i="1"/>
  <c r="M75" i="1"/>
  <c r="N75" i="1" s="1"/>
  <c r="O74" i="1"/>
  <c r="M74" i="1"/>
  <c r="N74" i="1" s="1"/>
  <c r="O73" i="1"/>
  <c r="P73" i="1" s="1"/>
  <c r="M73" i="1"/>
  <c r="N73" i="1" s="1"/>
  <c r="O72" i="1"/>
  <c r="M72" i="1"/>
  <c r="N72" i="1" s="1"/>
  <c r="O71" i="1"/>
  <c r="P71" i="1" s="1"/>
  <c r="N71" i="1"/>
  <c r="M71" i="1"/>
  <c r="O70" i="1"/>
  <c r="P70" i="1" s="1"/>
  <c r="M70" i="1"/>
  <c r="N70" i="1" s="1"/>
  <c r="P69" i="1"/>
  <c r="O69" i="1"/>
  <c r="N69" i="1"/>
  <c r="M69" i="1"/>
  <c r="C67" i="1"/>
  <c r="O67" i="1" s="1"/>
  <c r="O66" i="1"/>
  <c r="N66" i="1"/>
  <c r="M66" i="1"/>
  <c r="O65" i="1"/>
  <c r="M65" i="1"/>
  <c r="N65" i="1" s="1"/>
  <c r="O64" i="1"/>
  <c r="M64" i="1"/>
  <c r="N64" i="1" s="1"/>
  <c r="O63" i="1"/>
  <c r="P63" i="1" s="1"/>
  <c r="N63" i="1"/>
  <c r="M63" i="1"/>
  <c r="O62" i="1"/>
  <c r="M62" i="1"/>
  <c r="O61" i="1"/>
  <c r="M61" i="1"/>
  <c r="N61" i="1" s="1"/>
  <c r="O60" i="1"/>
  <c r="M60" i="1"/>
  <c r="N60" i="1" s="1"/>
  <c r="O59" i="1"/>
  <c r="M59" i="1"/>
  <c r="N59" i="1" s="1"/>
  <c r="O58" i="1"/>
  <c r="N58" i="1"/>
  <c r="M58" i="1"/>
  <c r="O56" i="1"/>
  <c r="M56" i="1"/>
  <c r="O55" i="1"/>
  <c r="M55" i="1"/>
  <c r="N55" i="1" s="1"/>
  <c r="O54" i="1"/>
  <c r="M54" i="1"/>
  <c r="N54" i="1" s="1"/>
  <c r="O53" i="1"/>
  <c r="P53" i="1" s="1"/>
  <c r="N53" i="1"/>
  <c r="M53" i="1"/>
  <c r="P52" i="1"/>
  <c r="O52" i="1"/>
  <c r="N52" i="1"/>
  <c r="M52" i="1"/>
  <c r="O51" i="1"/>
  <c r="M51" i="1"/>
  <c r="N51" i="1" s="1"/>
  <c r="O50" i="1"/>
  <c r="P50" i="1" s="1"/>
  <c r="M50" i="1"/>
  <c r="N50" i="1" s="1"/>
  <c r="O49" i="1"/>
  <c r="M49" i="1"/>
  <c r="N49" i="1" s="1"/>
  <c r="O48" i="1"/>
  <c r="P48" i="1" s="1"/>
  <c r="M48" i="1"/>
  <c r="N48" i="1" s="1"/>
  <c r="O47" i="1"/>
  <c r="M47" i="1"/>
  <c r="N47" i="1" s="1"/>
  <c r="M45" i="1"/>
  <c r="P45" i="1" s="1"/>
  <c r="O44" i="1"/>
  <c r="M44" i="1"/>
  <c r="N44" i="1" s="1"/>
  <c r="O43" i="1"/>
  <c r="M43" i="1"/>
  <c r="P43" i="1" s="1"/>
  <c r="O42" i="1"/>
  <c r="M42" i="1"/>
  <c r="N42" i="1" s="1"/>
  <c r="O41" i="1"/>
  <c r="M41" i="1"/>
  <c r="P41" i="1" s="1"/>
  <c r="O40" i="1"/>
  <c r="N40" i="1"/>
  <c r="M40" i="1"/>
  <c r="P39" i="1"/>
  <c r="O39" i="1"/>
  <c r="N39" i="1"/>
  <c r="M39" i="1"/>
  <c r="O38" i="1"/>
  <c r="M38" i="1"/>
  <c r="N38" i="1" s="1"/>
  <c r="O37" i="1"/>
  <c r="P37" i="1" s="1"/>
  <c r="M37" i="1"/>
  <c r="N37" i="1" s="1"/>
  <c r="O36" i="1"/>
  <c r="M36" i="1"/>
  <c r="N36" i="1" s="1"/>
  <c r="O34" i="1"/>
  <c r="P34" i="1" s="1"/>
  <c r="M34" i="1"/>
  <c r="N34" i="1" s="1"/>
  <c r="O33" i="1"/>
  <c r="M33" i="1"/>
  <c r="N33" i="1" s="1"/>
  <c r="O32" i="1"/>
  <c r="P32" i="1" s="1"/>
  <c r="M32" i="1"/>
  <c r="N32" i="1" s="1"/>
  <c r="O31" i="1"/>
  <c r="P31" i="1" s="1"/>
  <c r="M31" i="1"/>
  <c r="N31" i="1" s="1"/>
  <c r="O30" i="1"/>
  <c r="P30" i="1" s="1"/>
  <c r="M30" i="1"/>
  <c r="N30" i="1" s="1"/>
  <c r="O29" i="1"/>
  <c r="P29" i="1" s="1"/>
  <c r="M29" i="1"/>
  <c r="N29" i="1" s="1"/>
  <c r="O28" i="1"/>
  <c r="P28" i="1" s="1"/>
  <c r="M28" i="1"/>
  <c r="N28" i="1" s="1"/>
  <c r="O27" i="1"/>
  <c r="P27" i="1" s="1"/>
  <c r="M27" i="1"/>
  <c r="N27" i="1" s="1"/>
  <c r="O26" i="1"/>
  <c r="M26" i="1"/>
  <c r="O25" i="1"/>
  <c r="M25" i="1"/>
  <c r="N25" i="1" s="1"/>
  <c r="O23" i="1"/>
  <c r="M23" i="1"/>
  <c r="N23" i="1" s="1"/>
  <c r="O22" i="1"/>
  <c r="M22" i="1"/>
  <c r="N22" i="1" s="1"/>
  <c r="O21" i="1"/>
  <c r="M21" i="1"/>
  <c r="N21" i="1" s="1"/>
  <c r="O20" i="1"/>
  <c r="P20" i="1" s="1"/>
  <c r="M20" i="1"/>
  <c r="N20" i="1" s="1"/>
  <c r="O19" i="1"/>
  <c r="M19" i="1"/>
  <c r="N19" i="1" s="1"/>
  <c r="O18" i="1"/>
  <c r="P18" i="1" s="1"/>
  <c r="M18" i="1"/>
  <c r="N18" i="1" s="1"/>
  <c r="O17" i="1"/>
  <c r="M17" i="1"/>
  <c r="N17" i="1" s="1"/>
  <c r="O16" i="1"/>
  <c r="M16" i="1"/>
  <c r="N16" i="1" s="1"/>
  <c r="O15" i="1"/>
  <c r="M15" i="1"/>
  <c r="N15" i="1" s="1"/>
  <c r="O14" i="1"/>
  <c r="M14" i="1"/>
  <c r="N14" i="1" s="1"/>
  <c r="O12" i="1"/>
  <c r="N12" i="1"/>
  <c r="M12" i="1"/>
  <c r="P12" i="1" s="1"/>
  <c r="O11" i="1"/>
  <c r="M11" i="1"/>
  <c r="N11" i="1" s="1"/>
  <c r="O10" i="1"/>
  <c r="M10" i="1"/>
  <c r="N10" i="1" s="1"/>
  <c r="O9" i="1"/>
  <c r="N9" i="1"/>
  <c r="M9" i="1"/>
  <c r="O8" i="1"/>
  <c r="M8" i="1"/>
  <c r="O7" i="1"/>
  <c r="M7" i="1"/>
  <c r="N7" i="1" s="1"/>
  <c r="O6" i="1"/>
  <c r="M6" i="1"/>
  <c r="N6" i="1" s="1"/>
  <c r="O5" i="1"/>
  <c r="M5" i="1"/>
  <c r="N5" i="1" s="1"/>
  <c r="O4" i="1"/>
  <c r="N4" i="1"/>
  <c r="M4" i="1"/>
  <c r="O3" i="1"/>
  <c r="M3" i="1"/>
  <c r="N3" i="1" s="1"/>
  <c r="B36" i="3" l="1"/>
  <c r="B37" i="3"/>
  <c r="B31" i="3"/>
  <c r="B30" i="3"/>
  <c r="B27" i="3"/>
  <c r="B25" i="3"/>
  <c r="B20" i="3"/>
  <c r="B4" i="3"/>
  <c r="B3" i="3"/>
  <c r="K48" i="3"/>
  <c r="P16" i="1"/>
  <c r="P40" i="1"/>
  <c r="P62" i="1"/>
  <c r="P72" i="1"/>
  <c r="P78" i="1"/>
  <c r="P82" i="1"/>
  <c r="P88" i="1"/>
  <c r="P54" i="1"/>
  <c r="P75" i="1"/>
  <c r="P9" i="1"/>
  <c r="P89" i="1"/>
  <c r="P26" i="1"/>
  <c r="P4" i="1"/>
  <c r="P14" i="1"/>
  <c r="N26" i="1"/>
  <c r="P56" i="1"/>
  <c r="P86" i="1"/>
  <c r="P8" i="1"/>
  <c r="P22" i="1"/>
  <c r="P58" i="1"/>
  <c r="P74" i="1"/>
  <c r="P81" i="1"/>
  <c r="P10" i="1"/>
  <c r="P44" i="1"/>
  <c r="P64" i="1"/>
  <c r="P66" i="1"/>
  <c r="P25" i="1"/>
  <c r="P61" i="1"/>
  <c r="N45" i="1"/>
  <c r="M67" i="1"/>
  <c r="N67" i="1" s="1"/>
  <c r="N8" i="1"/>
  <c r="P38" i="1"/>
  <c r="N43" i="1"/>
  <c r="P51" i="1"/>
  <c r="N56" i="1"/>
  <c r="P59" i="1"/>
  <c r="N62" i="1"/>
  <c r="N77" i="1"/>
  <c r="P87" i="1"/>
  <c r="P5" i="1"/>
  <c r="P6" i="1"/>
  <c r="P36" i="1"/>
  <c r="N41" i="1"/>
  <c r="P49" i="1"/>
  <c r="P60" i="1"/>
  <c r="P85" i="1"/>
  <c r="P7" i="1"/>
  <c r="P42" i="1"/>
  <c r="P55" i="1"/>
  <c r="P3" i="1"/>
  <c r="P11" i="1"/>
  <c r="P33" i="1"/>
  <c r="P47" i="1"/>
  <c r="P65" i="1"/>
  <c r="P83" i="1"/>
  <c r="Q59" i="3"/>
  <c r="H48" i="3"/>
  <c r="T60" i="3"/>
  <c r="Q58" i="3"/>
  <c r="B58" i="3" s="1"/>
  <c r="H49" i="3"/>
  <c r="K50" i="3"/>
  <c r="T59" i="3"/>
  <c r="N48" i="3"/>
  <c r="N26" i="2"/>
  <c r="N28" i="2"/>
  <c r="N30" i="2"/>
  <c r="N32" i="2"/>
  <c r="N34" i="2"/>
  <c r="N37" i="2"/>
  <c r="N39" i="2"/>
  <c r="N41" i="2"/>
  <c r="N43" i="2"/>
  <c r="N45" i="2"/>
  <c r="N48" i="2"/>
  <c r="N50" i="2"/>
  <c r="N52" i="2"/>
  <c r="N54" i="2"/>
  <c r="N56" i="2"/>
  <c r="N59" i="2"/>
  <c r="N61" i="2"/>
  <c r="N63" i="2"/>
  <c r="N65" i="2"/>
  <c r="M67" i="2"/>
  <c r="N67" i="2" s="1"/>
  <c r="P15" i="1"/>
  <c r="P17" i="1"/>
  <c r="P19" i="1"/>
  <c r="P21" i="1"/>
  <c r="P23" i="1"/>
  <c r="B59" i="3" l="1"/>
  <c r="P67" i="1"/>
  <c r="P67" i="2"/>
</calcChain>
</file>

<file path=xl/sharedStrings.xml><?xml version="1.0" encoding="utf-8"?>
<sst xmlns="http://schemas.openxmlformats.org/spreadsheetml/2006/main" count="322" uniqueCount="129">
  <si>
    <t>ID</t>
  </si>
  <si>
    <t>Cell Counts DAPI --&gt;</t>
  </si>
  <si>
    <t>Aliquot 1</t>
  </si>
  <si>
    <t>Aliquot 2</t>
  </si>
  <si>
    <t>Aliquot 3</t>
  </si>
  <si>
    <t>Aliquot 4</t>
  </si>
  <si>
    <t>Aliquot 5</t>
  </si>
  <si>
    <t>Aliquot 6</t>
  </si>
  <si>
    <t>Aliquot 7</t>
  </si>
  <si>
    <t>Aliquot 8</t>
  </si>
  <si>
    <t>Aliquot 9</t>
  </si>
  <si>
    <t>Aliquot 10</t>
  </si>
  <si>
    <t>Average</t>
  </si>
  <si>
    <t>Total Count</t>
  </si>
  <si>
    <t>SD</t>
  </si>
  <si>
    <t>CV</t>
  </si>
  <si>
    <t>Females</t>
  </si>
  <si>
    <t>PPFBC-2</t>
  </si>
  <si>
    <t>PPFBC3</t>
  </si>
  <si>
    <t>PPFBC-6</t>
  </si>
  <si>
    <t>PPFBC-7</t>
  </si>
  <si>
    <t>PPFBC-8</t>
  </si>
  <si>
    <t>PPFBC-9</t>
  </si>
  <si>
    <t>PPFBC-10</t>
  </si>
  <si>
    <t>Parae</t>
  </si>
  <si>
    <t>PPBC1</t>
  </si>
  <si>
    <t>PPBC2</t>
  </si>
  <si>
    <t>PPBC3</t>
  </si>
  <si>
    <t>PPBC4</t>
  </si>
  <si>
    <t>PPBC5</t>
  </si>
  <si>
    <t>PPBC6</t>
  </si>
  <si>
    <t>PPBC7</t>
  </si>
  <si>
    <t>PPBC8</t>
  </si>
  <si>
    <t>PPBC9</t>
  </si>
  <si>
    <t>PPBC10</t>
  </si>
  <si>
    <t>Immaculata</t>
  </si>
  <si>
    <t>PIBC-1</t>
  </si>
  <si>
    <t>PIBC-2</t>
  </si>
  <si>
    <t>PIBC-3</t>
  </si>
  <si>
    <t>PIBC-4</t>
  </si>
  <si>
    <t>PIBC-5</t>
  </si>
  <si>
    <t>PIBC-6</t>
  </si>
  <si>
    <t>PIBC-7</t>
  </si>
  <si>
    <t>PIBC-8</t>
  </si>
  <si>
    <t>PIBC-9</t>
  </si>
  <si>
    <t>PIBC-10</t>
  </si>
  <si>
    <t>Blue Melanzona</t>
  </si>
  <si>
    <t>PMBC1</t>
  </si>
  <si>
    <t>PMBC2</t>
  </si>
  <si>
    <t>PMBC3</t>
  </si>
  <si>
    <t>PMBC4</t>
  </si>
  <si>
    <t>PMBC5</t>
  </si>
  <si>
    <t>PMBC6</t>
  </si>
  <si>
    <t>PMBC7</t>
  </si>
  <si>
    <t>PMBC8</t>
  </si>
  <si>
    <t>PMBC9</t>
  </si>
  <si>
    <t>PMBC10</t>
  </si>
  <si>
    <t>Picta Male</t>
  </si>
  <si>
    <t>PpicBC1</t>
  </si>
  <si>
    <t>PpicBC2</t>
  </si>
  <si>
    <t>PpicBC3</t>
  </si>
  <si>
    <t>PpicBC4</t>
  </si>
  <si>
    <t>PpicBC5</t>
  </si>
  <si>
    <t>PpicBC6</t>
  </si>
  <si>
    <t>PpicBC7</t>
  </si>
  <si>
    <t>PpicBC8</t>
  </si>
  <si>
    <t>PpicBC9</t>
  </si>
  <si>
    <t>PpicBC10</t>
  </si>
  <si>
    <t>Reticulata Male</t>
  </si>
  <si>
    <t>PretBC1</t>
  </si>
  <si>
    <t>PretBC2</t>
  </si>
  <si>
    <t>PretBC3</t>
  </si>
  <si>
    <t>PretBC4</t>
  </si>
  <si>
    <t>PretBC5</t>
  </si>
  <si>
    <t>PretBC6</t>
  </si>
  <si>
    <t>PretBC7</t>
  </si>
  <si>
    <t>PretBC8</t>
  </si>
  <si>
    <t>PretBC9</t>
  </si>
  <si>
    <t>PretBC11</t>
  </si>
  <si>
    <t>Female Picta</t>
  </si>
  <si>
    <t>PpicFBC1</t>
  </si>
  <si>
    <t>PpicFBC2</t>
  </si>
  <si>
    <t>PpicFBC4</t>
  </si>
  <si>
    <t>PpicFBC5</t>
  </si>
  <si>
    <t>PpicFBC6</t>
  </si>
  <si>
    <t>PpicFBC7</t>
  </si>
  <si>
    <t>PpicFBC8</t>
  </si>
  <si>
    <t>PpicFBC9</t>
  </si>
  <si>
    <t>PpicFBC10</t>
  </si>
  <si>
    <t>Female Reticulata</t>
  </si>
  <si>
    <t>PretFBC1</t>
  </si>
  <si>
    <t>PretFBC2</t>
  </si>
  <si>
    <t>PretFBC3</t>
  </si>
  <si>
    <t>PretFBC4</t>
  </si>
  <si>
    <t>PretFBC5</t>
  </si>
  <si>
    <t>PretFBC6</t>
  </si>
  <si>
    <t>PretFBC7</t>
  </si>
  <si>
    <t>PretFBC8</t>
  </si>
  <si>
    <t>PretFBC9</t>
  </si>
  <si>
    <t>PretFBC10</t>
  </si>
  <si>
    <t>Average Ratio</t>
  </si>
  <si>
    <t>Neuron Ratio</t>
  </si>
  <si>
    <t>Aliquot 1: GFP</t>
  </si>
  <si>
    <t>Aliquot 1: DAPI</t>
  </si>
  <si>
    <t>Aliquot 1: GFP:DAPI</t>
  </si>
  <si>
    <t>Aliquot 2: GFP</t>
  </si>
  <si>
    <t>Aliquot 2: DAPI</t>
  </si>
  <si>
    <t>Aliquot 2: GFP:DAPI</t>
  </si>
  <si>
    <t>Aliquot 3: GFP</t>
  </si>
  <si>
    <t>Aliquot 3: DAPI</t>
  </si>
  <si>
    <t>Aliquot 3: GFP:DAPI</t>
  </si>
  <si>
    <t>Aliquot 4: GFP</t>
  </si>
  <si>
    <t>Aliquot 4: DAPI</t>
  </si>
  <si>
    <t>Aliquot 4: GFP:DAPI</t>
  </si>
  <si>
    <t>Aliquot 5: GFP</t>
  </si>
  <si>
    <t>Aliquot 5: DAPI</t>
  </si>
  <si>
    <t>Aliquot 5: GFP:DAPI</t>
  </si>
  <si>
    <t>Aliquot 6: GFP:</t>
  </si>
  <si>
    <t>Aliquot 6: DAPI</t>
  </si>
  <si>
    <t>Aliquot 6: GFP:DAPI</t>
  </si>
  <si>
    <t>Aliquot 7: GFP</t>
  </si>
  <si>
    <t>Aliquot 7: DAPI</t>
  </si>
  <si>
    <t>Aliquot 7: GFP:DAPI</t>
  </si>
  <si>
    <t>Neuron Count</t>
  </si>
  <si>
    <t>Filtered Neuron Count</t>
  </si>
  <si>
    <t>PpicFBC3</t>
  </si>
  <si>
    <t>PPFBC-1</t>
  </si>
  <si>
    <t>PPFBC-4</t>
  </si>
  <si>
    <t>PPFBC-5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</si>
</sst>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D1C1D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ptos Narrow"/>
      <family val="2"/>
      <scheme val="minor"/>
    </font>
    <font>
      <b/>
      <sz val="10"/>
      <color rgb="FF1D1C1D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1D1C1D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DEDED"/>
      </patternFill>
    </fill>
    <fill>
      <patternFill patternType="solid">
        <fgColor theme="0" tint="-4.9989318521683403E-2"/>
        <bgColor rgb="FFF8F8F8"/>
      </patternFill>
    </fill>
    <fill>
      <patternFill patternType="solid">
        <fgColor theme="0" tint="-4.9989318521683403E-2"/>
        <bgColor rgb="FFF3F3F3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7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0" fillId="3" borderId="1" xfId="0" applyFont="1" applyFill="1" applyBorder="1"/>
    <xf numFmtId="0" fontId="0" fillId="0" borderId="1" xfId="0" applyBorder="1"/>
    <xf numFmtId="0" fontId="8" fillId="0" borderId="1" xfId="0" applyFont="1" applyBorder="1"/>
    <xf numFmtId="0" fontId="12" fillId="0" borderId="1" xfId="0" applyFont="1" applyBorder="1"/>
    <xf numFmtId="0" fontId="10" fillId="0" borderId="2" xfId="0" applyFont="1" applyBorder="1"/>
    <xf numFmtId="0" fontId="10" fillId="3" borderId="2" xfId="0" applyFont="1" applyFill="1" applyBorder="1"/>
    <xf numFmtId="0" fontId="10" fillId="4" borderId="2" xfId="0" applyFont="1" applyFill="1" applyBorder="1" applyAlignment="1">
      <alignment horizontal="right"/>
    </xf>
    <xf numFmtId="0" fontId="0" fillId="0" borderId="2" xfId="0" applyBorder="1"/>
    <xf numFmtId="0" fontId="10" fillId="3" borderId="4" xfId="0" applyFont="1" applyFill="1" applyBorder="1"/>
    <xf numFmtId="0" fontId="10" fillId="0" borderId="5" xfId="0" applyFont="1" applyBorder="1"/>
    <xf numFmtId="0" fontId="10" fillId="0" borderId="4" xfId="0" applyFont="1" applyBorder="1"/>
    <xf numFmtId="0" fontId="10" fillId="0" borderId="6" xfId="0" applyFont="1" applyBorder="1"/>
    <xf numFmtId="0" fontId="10" fillId="3" borderId="7" xfId="0" applyFont="1" applyFill="1" applyBorder="1"/>
    <xf numFmtId="0" fontId="10" fillId="0" borderId="7" xfId="0" applyFont="1" applyBorder="1"/>
    <xf numFmtId="0" fontId="0" fillId="0" borderId="7" xfId="0" applyBorder="1"/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11" fillId="3" borderId="1" xfId="0" applyFont="1" applyFill="1" applyBorder="1"/>
    <xf numFmtId="0" fontId="6" fillId="3" borderId="1" xfId="0" applyFont="1" applyFill="1" applyBorder="1"/>
    <xf numFmtId="0" fontId="11" fillId="4" borderId="0" xfId="0" applyFont="1" applyFill="1"/>
    <xf numFmtId="0" fontId="11" fillId="0" borderId="2" xfId="0" applyFont="1" applyBorder="1"/>
    <xf numFmtId="0" fontId="11" fillId="3" borderId="0" xfId="0" applyFont="1" applyFill="1"/>
    <xf numFmtId="0" fontId="11" fillId="0" borderId="0" xfId="0" applyFont="1"/>
    <xf numFmtId="0" fontId="11" fillId="0" borderId="5" xfId="0" applyFont="1" applyBorder="1"/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right"/>
    </xf>
    <xf numFmtId="0" fontId="13" fillId="2" borderId="0" xfId="0" applyFont="1" applyFill="1" applyAlignment="1">
      <alignment horizontal="left"/>
    </xf>
    <xf numFmtId="0" fontId="16" fillId="7" borderId="10" xfId="0" applyFont="1" applyFill="1" applyBorder="1"/>
    <xf numFmtId="0" fontId="16" fillId="8" borderId="10" xfId="0" applyFont="1" applyFill="1" applyBorder="1"/>
    <xf numFmtId="0" fontId="0" fillId="8" borderId="10" xfId="0" applyFill="1" applyBorder="1"/>
    <xf numFmtId="0" fontId="0" fillId="9" borderId="10" xfId="0" applyFill="1" applyBorder="1"/>
    <xf numFmtId="0" fontId="14" fillId="5" borderId="10" xfId="0" applyFont="1" applyFill="1" applyBorder="1"/>
    <xf numFmtId="0" fontId="16" fillId="6" borderId="10" xfId="0" applyFont="1" applyFill="1" applyBorder="1"/>
    <xf numFmtId="0" fontId="16" fillId="5" borderId="10" xfId="0" applyFont="1" applyFill="1" applyBorder="1"/>
    <xf numFmtId="0" fontId="0" fillId="5" borderId="10" xfId="0" applyFill="1" applyBorder="1"/>
    <xf numFmtId="0" fontId="17" fillId="12" borderId="10" xfId="0" applyFont="1" applyFill="1" applyBorder="1" applyAlignment="1">
      <alignment horizontal="left"/>
    </xf>
    <xf numFmtId="0" fontId="14" fillId="13" borderId="10" xfId="0" applyFont="1" applyFill="1" applyBorder="1"/>
    <xf numFmtId="0" fontId="17" fillId="13" borderId="10" xfId="0" applyFont="1" applyFill="1" applyBorder="1"/>
    <xf numFmtId="0" fontId="15" fillId="5" borderId="10" xfId="0" applyFont="1" applyFill="1" applyBorder="1"/>
    <xf numFmtId="0" fontId="14" fillId="5" borderId="17" xfId="0" applyFont="1" applyFill="1" applyBorder="1"/>
    <xf numFmtId="0" fontId="16" fillId="6" borderId="17" xfId="0" applyFont="1" applyFill="1" applyBorder="1"/>
    <xf numFmtId="0" fontId="16" fillId="5" borderId="17" xfId="0" applyFont="1" applyFill="1" applyBorder="1" applyAlignment="1">
      <alignment horizontal="right"/>
    </xf>
    <xf numFmtId="0" fontId="16" fillId="5" borderId="17" xfId="0" applyFont="1" applyFill="1" applyBorder="1"/>
    <xf numFmtId="0" fontId="0" fillId="5" borderId="17" xfId="0" applyFill="1" applyBorder="1"/>
    <xf numFmtId="0" fontId="14" fillId="10" borderId="18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1" fillId="5" borderId="21" xfId="0" applyFont="1" applyFill="1" applyBorder="1"/>
    <xf numFmtId="0" fontId="3" fillId="6" borderId="21" xfId="0" applyFont="1" applyFill="1" applyBorder="1"/>
    <xf numFmtId="0" fontId="3" fillId="5" borderId="21" xfId="0" applyFont="1" applyFill="1" applyBorder="1" applyAlignment="1">
      <alignment horizontal="right"/>
    </xf>
    <xf numFmtId="0" fontId="3" fillId="5" borderId="21" xfId="0" applyFont="1" applyFill="1" applyBorder="1"/>
    <xf numFmtId="0" fontId="4" fillId="5" borderId="21" xfId="0" applyFont="1" applyFill="1" applyBorder="1"/>
    <xf numFmtId="0" fontId="3" fillId="7" borderId="8" xfId="0" applyFont="1" applyFill="1" applyBorder="1"/>
    <xf numFmtId="0" fontId="4" fillId="0" borderId="8" xfId="0" applyFont="1" applyBorder="1"/>
    <xf numFmtId="0" fontId="3" fillId="0" borderId="8" xfId="0" applyFont="1" applyBorder="1"/>
    <xf numFmtId="0" fontId="3" fillId="8" borderId="8" xfId="0" applyFont="1" applyFill="1" applyBorder="1"/>
    <xf numFmtId="0" fontId="3" fillId="6" borderId="8" xfId="0" applyFont="1" applyFill="1" applyBorder="1"/>
    <xf numFmtId="0" fontId="3" fillId="5" borderId="8" xfId="0" applyFont="1" applyFill="1" applyBorder="1"/>
    <xf numFmtId="0" fontId="4" fillId="5" borderId="8" xfId="0" applyFont="1" applyFill="1" applyBorder="1"/>
    <xf numFmtId="0" fontId="3" fillId="7" borderId="13" xfId="0" applyFont="1" applyFill="1" applyBorder="1"/>
    <xf numFmtId="0" fontId="4" fillId="0" borderId="13" xfId="0" applyFont="1" applyBorder="1"/>
    <xf numFmtId="0" fontId="3" fillId="0" borderId="13" xfId="0" applyFont="1" applyBorder="1"/>
    <xf numFmtId="0" fontId="3" fillId="0" borderId="22" xfId="0" applyFont="1" applyBorder="1"/>
    <xf numFmtId="0" fontId="3" fillId="0" borderId="23" xfId="0" applyFont="1" applyBorder="1"/>
    <xf numFmtId="0" fontId="5" fillId="12" borderId="14" xfId="0" applyFont="1" applyFill="1" applyBorder="1" applyAlignment="1">
      <alignment horizontal="left"/>
    </xf>
    <xf numFmtId="0" fontId="3" fillId="6" borderId="23" xfId="0" applyFont="1" applyFill="1" applyBorder="1"/>
    <xf numFmtId="0" fontId="4" fillId="9" borderId="14" xfId="0" applyFont="1" applyFill="1" applyBorder="1"/>
    <xf numFmtId="0" fontId="1" fillId="13" borderId="14" xfId="0" applyFont="1" applyFill="1" applyBorder="1"/>
    <xf numFmtId="0" fontId="4" fillId="8" borderId="14" xfId="0" applyFont="1" applyFill="1" applyBorder="1"/>
    <xf numFmtId="0" fontId="5" fillId="13" borderId="14" xfId="0" applyFont="1" applyFill="1" applyBorder="1"/>
    <xf numFmtId="0" fontId="2" fillId="5" borderId="14" xfId="0" applyFont="1" applyFill="1" applyBorder="1"/>
    <xf numFmtId="0" fontId="3" fillId="5" borderId="23" xfId="0" applyFont="1" applyFill="1" applyBorder="1"/>
    <xf numFmtId="0" fontId="1" fillId="5" borderId="14" xfId="0" applyFont="1" applyFill="1" applyBorder="1"/>
    <xf numFmtId="0" fontId="4" fillId="5" borderId="23" xfId="0" applyFont="1" applyFill="1" applyBorder="1"/>
    <xf numFmtId="0" fontId="4" fillId="8" borderId="15" xfId="0" applyFont="1" applyFill="1" applyBorder="1"/>
    <xf numFmtId="0" fontId="3" fillId="8" borderId="16" xfId="0" applyFont="1" applyFill="1" applyBorder="1"/>
    <xf numFmtId="0" fontId="4" fillId="0" borderId="16" xfId="0" applyFont="1" applyBorder="1"/>
    <xf numFmtId="0" fontId="3" fillId="0" borderId="16" xfId="0" applyFont="1" applyBorder="1"/>
    <xf numFmtId="0" fontId="3" fillId="0" borderId="24" xfId="0" applyFont="1" applyBorder="1"/>
    <xf numFmtId="0" fontId="4" fillId="0" borderId="18" xfId="0" applyFont="1" applyBorder="1"/>
    <xf numFmtId="0" fontId="4" fillId="0" borderId="9" xfId="0" applyFont="1" applyBorder="1"/>
    <xf numFmtId="0" fontId="3" fillId="0" borderId="9" xfId="0" applyFont="1" applyBorder="1"/>
    <xf numFmtId="0" fontId="3" fillId="0" borderId="25" xfId="0" applyFont="1" applyBorder="1"/>
    <xf numFmtId="0" fontId="4" fillId="0" borderId="11" xfId="0" applyFont="1" applyBorder="1"/>
    <xf numFmtId="0" fontId="3" fillId="0" borderId="11" xfId="0" applyFont="1" applyBorder="1"/>
    <xf numFmtId="0" fontId="3" fillId="0" borderId="26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15" xfId="0" applyFont="1" applyBorder="1"/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F355-A1A0-4C15-9BB9-18558E0737A2}">
  <dimension ref="A1:P89"/>
  <sheetViews>
    <sheetView topLeftCell="A61" zoomScale="75" workbookViewId="0">
      <selection activeCell="A69" sqref="A69:A78"/>
    </sheetView>
  </sheetViews>
  <sheetFormatPr defaultRowHeight="14.5" x14ac:dyDescent="0.35"/>
  <sheetData>
    <row r="1" spans="1:16" ht="43.5" x14ac:dyDescent="0.35">
      <c r="A1" s="57" t="s">
        <v>0</v>
      </c>
      <c r="B1" s="58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60" t="s">
        <v>15</v>
      </c>
    </row>
    <row r="2" spans="1:16" x14ac:dyDescent="0.35">
      <c r="A2" s="52" t="s">
        <v>16</v>
      </c>
      <c r="B2" s="53"/>
      <c r="C2" s="54"/>
      <c r="D2" s="55"/>
      <c r="E2" s="55"/>
      <c r="F2" s="55"/>
      <c r="G2" s="55"/>
      <c r="H2" s="56"/>
      <c r="I2" s="56"/>
      <c r="J2" s="56"/>
      <c r="K2" s="56"/>
      <c r="L2" s="56"/>
      <c r="M2" s="56"/>
      <c r="N2" s="56"/>
      <c r="O2" s="55"/>
      <c r="P2" s="55"/>
    </row>
    <row r="3" spans="1:16" x14ac:dyDescent="0.35">
      <c r="A3" t="s">
        <v>126</v>
      </c>
      <c r="B3" s="40"/>
      <c r="C3" s="42">
        <v>1793</v>
      </c>
      <c r="D3" s="42">
        <v>2049</v>
      </c>
      <c r="E3" s="42">
        <v>1884</v>
      </c>
      <c r="F3" s="42">
        <v>2179</v>
      </c>
      <c r="G3" s="42">
        <v>2380</v>
      </c>
      <c r="H3" s="42">
        <v>2452</v>
      </c>
      <c r="I3" s="42">
        <v>2020</v>
      </c>
      <c r="J3" s="42">
        <v>2031</v>
      </c>
      <c r="K3" s="42">
        <v>1772</v>
      </c>
      <c r="L3" s="42">
        <v>1923</v>
      </c>
      <c r="M3" s="42">
        <f>AVERAGE(C3:L3)</f>
        <v>2048.3000000000002</v>
      </c>
      <c r="N3" s="42">
        <f>(M3/0.000382)*1</f>
        <v>5362041.8848167546</v>
      </c>
      <c r="O3" s="41">
        <f t="shared" ref="O3:O12" si="0">_xlfn.STDEV.P(C3:L3)</f>
        <v>218.03579981278304</v>
      </c>
      <c r="P3" s="41">
        <f t="shared" ref="P3:P12" si="1">O3/M3</f>
        <v>0.10644720002576918</v>
      </c>
    </row>
    <row r="4" spans="1:16" x14ac:dyDescent="0.35">
      <c r="A4" t="s">
        <v>17</v>
      </c>
      <c r="B4" s="40"/>
      <c r="C4" s="42">
        <v>1851</v>
      </c>
      <c r="D4" s="42">
        <v>1947</v>
      </c>
      <c r="E4" s="42">
        <v>2134</v>
      </c>
      <c r="F4" s="42">
        <v>2173</v>
      </c>
      <c r="G4" s="42">
        <v>1973</v>
      </c>
      <c r="H4" s="42">
        <v>2026</v>
      </c>
      <c r="I4" s="42">
        <v>2065</v>
      </c>
      <c r="J4" s="42">
        <v>2035</v>
      </c>
      <c r="K4" s="42">
        <v>2174</v>
      </c>
      <c r="L4" s="42">
        <v>2071</v>
      </c>
      <c r="M4" s="42">
        <f t="shared" ref="M4:M67" si="2">AVERAGE(C4:L4)</f>
        <v>2044.9</v>
      </c>
      <c r="N4" s="42">
        <f t="shared" ref="N4:N67" si="3">(M4/0.000382)*1</f>
        <v>5353141.3612565445</v>
      </c>
      <c r="O4" s="41">
        <f t="shared" si="0"/>
        <v>97.420172449036443</v>
      </c>
      <c r="P4" s="41">
        <f t="shared" si="1"/>
        <v>4.7640555747976154E-2</v>
      </c>
    </row>
    <row r="5" spans="1:16" x14ac:dyDescent="0.35">
      <c r="A5" t="s">
        <v>18</v>
      </c>
      <c r="B5" s="40"/>
      <c r="C5" s="42">
        <v>1829</v>
      </c>
      <c r="D5" s="42">
        <v>1537</v>
      </c>
      <c r="E5" s="42">
        <v>1991</v>
      </c>
      <c r="F5" s="42">
        <v>1678</v>
      </c>
      <c r="G5" s="42">
        <v>1844</v>
      </c>
      <c r="H5" s="42">
        <v>1739</v>
      </c>
      <c r="I5" s="42">
        <v>1822</v>
      </c>
      <c r="J5" s="42">
        <v>1661</v>
      </c>
      <c r="K5" s="42">
        <v>1492</v>
      </c>
      <c r="L5" s="42">
        <v>1467</v>
      </c>
      <c r="M5" s="42">
        <f t="shared" si="2"/>
        <v>1706</v>
      </c>
      <c r="N5" s="42">
        <f t="shared" si="3"/>
        <v>4465968.586387434</v>
      </c>
      <c r="O5" s="41">
        <f t="shared" si="0"/>
        <v>162.55153029116644</v>
      </c>
      <c r="P5" s="41">
        <f t="shared" si="1"/>
        <v>9.5282256911586427E-2</v>
      </c>
    </row>
    <row r="6" spans="1:16" x14ac:dyDescent="0.35">
      <c r="A6" t="s">
        <v>127</v>
      </c>
      <c r="B6" s="40"/>
      <c r="C6" s="42">
        <v>1822</v>
      </c>
      <c r="D6" s="42">
        <v>1718</v>
      </c>
      <c r="E6" s="42">
        <v>2021</v>
      </c>
      <c r="F6" s="42">
        <v>1955</v>
      </c>
      <c r="G6" s="42">
        <v>1691</v>
      </c>
      <c r="H6" s="42">
        <v>1735</v>
      </c>
      <c r="I6" s="42">
        <v>1714</v>
      </c>
      <c r="J6" s="42">
        <v>1665</v>
      </c>
      <c r="K6" s="42">
        <v>1764</v>
      </c>
      <c r="L6" s="42">
        <v>1728</v>
      </c>
      <c r="M6" s="42">
        <f t="shared" si="2"/>
        <v>1781.3</v>
      </c>
      <c r="N6" s="42">
        <f t="shared" si="3"/>
        <v>4663089.0052356021</v>
      </c>
      <c r="O6" s="41">
        <f t="shared" si="0"/>
        <v>111.7068037319124</v>
      </c>
      <c r="P6" s="41">
        <f t="shared" si="1"/>
        <v>6.2710831264757433E-2</v>
      </c>
    </row>
    <row r="7" spans="1:16" x14ac:dyDescent="0.35">
      <c r="A7" t="s">
        <v>128</v>
      </c>
      <c r="B7" s="40"/>
      <c r="C7" s="42">
        <v>2127</v>
      </c>
      <c r="D7" s="42">
        <v>1885</v>
      </c>
      <c r="E7" s="42">
        <v>2108</v>
      </c>
      <c r="F7" s="42">
        <v>2123</v>
      </c>
      <c r="G7" s="42">
        <v>2206</v>
      </c>
      <c r="H7" s="42">
        <v>2173</v>
      </c>
      <c r="I7" s="42">
        <v>2458</v>
      </c>
      <c r="J7" s="42">
        <v>2148</v>
      </c>
      <c r="K7" s="42">
        <v>2339</v>
      </c>
      <c r="L7" s="42">
        <v>2371</v>
      </c>
      <c r="M7" s="42">
        <f t="shared" si="2"/>
        <v>2193.8000000000002</v>
      </c>
      <c r="N7" s="42">
        <f t="shared" si="3"/>
        <v>5742931.9371727752</v>
      </c>
      <c r="O7" s="41">
        <f t="shared" si="0"/>
        <v>153.99922077724941</v>
      </c>
      <c r="P7" s="41">
        <f t="shared" si="1"/>
        <v>7.0197475055724948E-2</v>
      </c>
    </row>
    <row r="8" spans="1:16" x14ac:dyDescent="0.35">
      <c r="A8" t="s">
        <v>19</v>
      </c>
      <c r="B8" s="41"/>
      <c r="C8" s="42">
        <v>1444</v>
      </c>
      <c r="D8" s="42">
        <v>1548</v>
      </c>
      <c r="E8" s="42">
        <v>1522</v>
      </c>
      <c r="F8" s="42">
        <v>1570</v>
      </c>
      <c r="G8" s="42">
        <v>1484</v>
      </c>
      <c r="H8" s="42">
        <v>1549</v>
      </c>
      <c r="I8" s="42">
        <v>1535</v>
      </c>
      <c r="J8" s="42">
        <v>1493</v>
      </c>
      <c r="K8" s="42">
        <v>1441</v>
      </c>
      <c r="L8" s="42">
        <v>1509</v>
      </c>
      <c r="M8" s="42">
        <f t="shared" si="2"/>
        <v>1509.5</v>
      </c>
      <c r="N8" s="42">
        <f t="shared" si="3"/>
        <v>3951570.6806282722</v>
      </c>
      <c r="O8" s="41">
        <f t="shared" si="0"/>
        <v>41.730684154468399</v>
      </c>
      <c r="P8" s="41">
        <f t="shared" si="1"/>
        <v>2.7645368767451738E-2</v>
      </c>
    </row>
    <row r="9" spans="1:16" x14ac:dyDescent="0.35">
      <c r="A9" t="s">
        <v>20</v>
      </c>
      <c r="B9" s="41"/>
      <c r="C9" s="42">
        <v>1409</v>
      </c>
      <c r="D9" s="42">
        <v>1432</v>
      </c>
      <c r="E9" s="42">
        <v>1452</v>
      </c>
      <c r="F9" s="42">
        <v>1340</v>
      </c>
      <c r="G9" s="42">
        <v>1472</v>
      </c>
      <c r="H9" s="42">
        <v>1411</v>
      </c>
      <c r="I9" s="42">
        <v>1430</v>
      </c>
      <c r="J9" s="42">
        <v>1379</v>
      </c>
      <c r="K9" s="42">
        <v>1426</v>
      </c>
      <c r="L9" s="42">
        <v>1000</v>
      </c>
      <c r="M9" s="42">
        <f t="shared" si="2"/>
        <v>1375.1</v>
      </c>
      <c r="N9" s="42">
        <f t="shared" si="3"/>
        <v>3599738.2198952874</v>
      </c>
      <c r="O9" s="41">
        <f t="shared" si="0"/>
        <v>129.81945154713912</v>
      </c>
      <c r="P9" s="41">
        <f t="shared" si="1"/>
        <v>9.4407280595694226E-2</v>
      </c>
    </row>
    <row r="10" spans="1:16" x14ac:dyDescent="0.35">
      <c r="A10" t="s">
        <v>21</v>
      </c>
      <c r="B10" s="41"/>
      <c r="C10" s="42">
        <v>1282</v>
      </c>
      <c r="D10" s="42">
        <v>1334</v>
      </c>
      <c r="E10" s="42">
        <v>1224</v>
      </c>
      <c r="F10" s="42">
        <v>1268</v>
      </c>
      <c r="G10" s="42">
        <v>1316</v>
      </c>
      <c r="H10" s="42">
        <v>1282</v>
      </c>
      <c r="I10" s="42">
        <v>1297</v>
      </c>
      <c r="J10" s="42">
        <v>1346</v>
      </c>
      <c r="K10" s="42">
        <v>1299</v>
      </c>
      <c r="L10" s="42">
        <v>1271</v>
      </c>
      <c r="M10" s="42">
        <f t="shared" si="2"/>
        <v>1291.9000000000001</v>
      </c>
      <c r="N10" s="42">
        <f t="shared" si="3"/>
        <v>3381937.172774869</v>
      </c>
      <c r="O10" s="41">
        <f t="shared" si="0"/>
        <v>33.422896343674346</v>
      </c>
      <c r="P10" s="41">
        <f t="shared" si="1"/>
        <v>2.5871117225539395E-2</v>
      </c>
    </row>
    <row r="11" spans="1:16" x14ac:dyDescent="0.35">
      <c r="A11" t="s">
        <v>22</v>
      </c>
      <c r="B11" s="41"/>
      <c r="C11" s="42">
        <v>1491</v>
      </c>
      <c r="D11" s="42">
        <v>1634</v>
      </c>
      <c r="E11" s="42">
        <v>1586</v>
      </c>
      <c r="F11" s="42">
        <v>1655</v>
      </c>
      <c r="G11" s="42">
        <v>1597</v>
      </c>
      <c r="H11" s="42">
        <v>1680</v>
      </c>
      <c r="I11" s="42">
        <v>1629</v>
      </c>
      <c r="J11" s="42">
        <v>1624</v>
      </c>
      <c r="K11" s="42">
        <v>1574</v>
      </c>
      <c r="L11" s="42">
        <v>1542</v>
      </c>
      <c r="M11" s="42">
        <f t="shared" si="2"/>
        <v>1601.2</v>
      </c>
      <c r="N11" s="42">
        <f t="shared" si="3"/>
        <v>4191623.0366492146</v>
      </c>
      <c r="O11" s="41">
        <f t="shared" si="0"/>
        <v>53.018487341681109</v>
      </c>
      <c r="P11" s="41">
        <f t="shared" si="1"/>
        <v>3.3111720797952229E-2</v>
      </c>
    </row>
    <row r="12" spans="1:16" x14ac:dyDescent="0.35">
      <c r="A12" t="s">
        <v>23</v>
      </c>
      <c r="B12" s="41"/>
      <c r="C12" s="42">
        <v>1352</v>
      </c>
      <c r="D12" s="42">
        <v>1321</v>
      </c>
      <c r="E12" s="42">
        <v>1380</v>
      </c>
      <c r="F12" s="42">
        <v>1350</v>
      </c>
      <c r="G12" s="42">
        <v>1362</v>
      </c>
      <c r="H12" s="42">
        <v>1330</v>
      </c>
      <c r="I12" s="42">
        <v>1365</v>
      </c>
      <c r="J12" s="42">
        <v>1357</v>
      </c>
      <c r="K12" s="42">
        <v>1317</v>
      </c>
      <c r="L12" s="42">
        <v>1318</v>
      </c>
      <c r="M12" s="42">
        <f t="shared" si="2"/>
        <v>1345.2</v>
      </c>
      <c r="N12" s="42">
        <f t="shared" si="3"/>
        <v>3521465.9685863876</v>
      </c>
      <c r="O12" s="41">
        <f t="shared" si="0"/>
        <v>21.08459153030952</v>
      </c>
      <c r="P12" s="41">
        <f t="shared" si="1"/>
        <v>1.5673945532492954E-2</v>
      </c>
    </row>
    <row r="13" spans="1:16" x14ac:dyDescent="0.35">
      <c r="A13" s="48" t="s">
        <v>24</v>
      </c>
      <c r="B13" s="45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6"/>
      <c r="P13" s="46"/>
    </row>
    <row r="14" spans="1:16" x14ac:dyDescent="0.35">
      <c r="A14" s="43" t="s">
        <v>25</v>
      </c>
      <c r="B14" s="41"/>
      <c r="C14" s="42">
        <v>1265</v>
      </c>
      <c r="D14" s="42">
        <v>1157</v>
      </c>
      <c r="E14" s="42">
        <v>1253</v>
      </c>
      <c r="F14" s="42">
        <v>1240</v>
      </c>
      <c r="G14" s="42">
        <v>1212</v>
      </c>
      <c r="H14" s="42">
        <v>1245</v>
      </c>
      <c r="I14" s="42">
        <v>1236</v>
      </c>
      <c r="J14" s="42">
        <v>1185</v>
      </c>
      <c r="K14" s="42">
        <v>1176</v>
      </c>
      <c r="L14" s="42">
        <v>1224</v>
      </c>
      <c r="M14" s="42">
        <f t="shared" si="2"/>
        <v>1219.3</v>
      </c>
      <c r="N14" s="42">
        <f t="shared" si="3"/>
        <v>3191884.8167539267</v>
      </c>
      <c r="O14" s="41">
        <f t="shared" ref="O14:O23" si="4">_xlfn.STDEV.P(C14:L14)</f>
        <v>34.05891953659129</v>
      </c>
      <c r="P14" s="41">
        <f t="shared" ref="P14:P23" si="5">O14/M14</f>
        <v>2.7933174392349127E-2</v>
      </c>
    </row>
    <row r="15" spans="1:16" x14ac:dyDescent="0.35">
      <c r="A15" s="43" t="s">
        <v>26</v>
      </c>
      <c r="B15" s="41"/>
      <c r="C15" s="42">
        <v>1221</v>
      </c>
      <c r="D15" s="42">
        <v>1210</v>
      </c>
      <c r="E15" s="42">
        <v>1168</v>
      </c>
      <c r="F15" s="42">
        <v>1205</v>
      </c>
      <c r="G15" s="42">
        <v>1191</v>
      </c>
      <c r="H15" s="42">
        <v>1196</v>
      </c>
      <c r="I15" s="42">
        <v>1191</v>
      </c>
      <c r="J15" s="42">
        <v>1187</v>
      </c>
      <c r="K15" s="42">
        <v>1171</v>
      </c>
      <c r="L15" s="42">
        <v>1183</v>
      </c>
      <c r="M15" s="42">
        <f t="shared" si="2"/>
        <v>1192.3</v>
      </c>
      <c r="N15" s="42">
        <f t="shared" si="3"/>
        <v>3121204.188481675</v>
      </c>
      <c r="O15" s="41">
        <f t="shared" si="4"/>
        <v>15.729272074701996</v>
      </c>
      <c r="P15" s="41">
        <f t="shared" si="5"/>
        <v>1.3192377819929544E-2</v>
      </c>
    </row>
    <row r="16" spans="1:16" x14ac:dyDescent="0.35">
      <c r="A16" s="43" t="s">
        <v>27</v>
      </c>
      <c r="B16" s="41"/>
      <c r="C16" s="42">
        <v>1281</v>
      </c>
      <c r="D16" s="42">
        <v>1252</v>
      </c>
      <c r="E16" s="42">
        <v>1215</v>
      </c>
      <c r="F16" s="42">
        <v>1202</v>
      </c>
      <c r="G16" s="42">
        <v>1235</v>
      </c>
      <c r="H16" s="42">
        <v>1238</v>
      </c>
      <c r="I16" s="42">
        <v>1308</v>
      </c>
      <c r="J16" s="42">
        <v>1207</v>
      </c>
      <c r="K16" s="42">
        <v>1222</v>
      </c>
      <c r="L16" s="42">
        <v>1221</v>
      </c>
      <c r="M16" s="42">
        <f t="shared" si="2"/>
        <v>1238.0999999999999</v>
      </c>
      <c r="N16" s="42">
        <f t="shared" si="3"/>
        <v>3241099.4764397903</v>
      </c>
      <c r="O16" s="41">
        <f t="shared" si="4"/>
        <v>32.070079513465501</v>
      </c>
      <c r="P16" s="41">
        <f t="shared" si="5"/>
        <v>2.5902656904503274E-2</v>
      </c>
    </row>
    <row r="17" spans="1:16" x14ac:dyDescent="0.35">
      <c r="A17" s="43" t="s">
        <v>28</v>
      </c>
      <c r="B17" s="41"/>
      <c r="C17" s="42">
        <v>1209</v>
      </c>
      <c r="D17" s="42">
        <v>1215</v>
      </c>
      <c r="E17" s="42">
        <v>1182</v>
      </c>
      <c r="F17" s="42">
        <v>1206</v>
      </c>
      <c r="G17" s="42">
        <v>1226</v>
      </c>
      <c r="H17" s="42">
        <v>1131</v>
      </c>
      <c r="I17" s="42">
        <v>1231</v>
      </c>
      <c r="J17" s="42">
        <v>1177</v>
      </c>
      <c r="K17" s="42">
        <v>1206</v>
      </c>
      <c r="L17" s="42">
        <v>1191</v>
      </c>
      <c r="M17" s="42">
        <f t="shared" si="2"/>
        <v>1197.4000000000001</v>
      </c>
      <c r="N17" s="42">
        <f t="shared" si="3"/>
        <v>3134554.9738219897</v>
      </c>
      <c r="O17" s="41">
        <f t="shared" si="4"/>
        <v>27.644891028904418</v>
      </c>
      <c r="P17" s="41">
        <f t="shared" si="5"/>
        <v>2.3087431960000349E-2</v>
      </c>
    </row>
    <row r="18" spans="1:16" x14ac:dyDescent="0.35">
      <c r="A18" s="43" t="s">
        <v>29</v>
      </c>
      <c r="B18" s="41"/>
      <c r="C18" s="42">
        <v>1066</v>
      </c>
      <c r="D18" s="42">
        <v>1097</v>
      </c>
      <c r="E18" s="42">
        <v>1065</v>
      </c>
      <c r="F18" s="42">
        <v>1099</v>
      </c>
      <c r="G18" s="42">
        <v>1091</v>
      </c>
      <c r="H18" s="42">
        <v>1078</v>
      </c>
      <c r="I18" s="42">
        <v>1107</v>
      </c>
      <c r="J18" s="42">
        <v>1109</v>
      </c>
      <c r="K18" s="42">
        <v>1141</v>
      </c>
      <c r="L18" s="42">
        <v>1077</v>
      </c>
      <c r="M18" s="42">
        <f t="shared" si="2"/>
        <v>1093</v>
      </c>
      <c r="N18" s="42">
        <f t="shared" si="3"/>
        <v>2861256.5445026178</v>
      </c>
      <c r="O18" s="41">
        <f t="shared" si="4"/>
        <v>21.922591087734133</v>
      </c>
      <c r="P18" s="41">
        <f t="shared" si="5"/>
        <v>2.0057265405063252E-2</v>
      </c>
    </row>
    <row r="19" spans="1:16" x14ac:dyDescent="0.35">
      <c r="A19" s="43" t="s">
        <v>30</v>
      </c>
      <c r="B19" s="41"/>
      <c r="C19" s="42">
        <v>1292</v>
      </c>
      <c r="D19" s="42">
        <v>1332</v>
      </c>
      <c r="E19" s="42">
        <v>1369</v>
      </c>
      <c r="F19" s="42">
        <v>1262</v>
      </c>
      <c r="G19" s="42">
        <v>1317</v>
      </c>
      <c r="H19" s="42">
        <v>1338</v>
      </c>
      <c r="I19" s="42">
        <v>1346</v>
      </c>
      <c r="J19" s="42">
        <v>1330</v>
      </c>
      <c r="K19" s="42">
        <v>1322</v>
      </c>
      <c r="L19" s="42">
        <v>1314</v>
      </c>
      <c r="M19" s="42">
        <f t="shared" si="2"/>
        <v>1322.2</v>
      </c>
      <c r="N19" s="42">
        <f t="shared" si="3"/>
        <v>3461256.5445026178</v>
      </c>
      <c r="O19" s="41">
        <f t="shared" si="4"/>
        <v>27.91701989826278</v>
      </c>
      <c r="P19" s="41">
        <f t="shared" si="5"/>
        <v>2.1114067386373302E-2</v>
      </c>
    </row>
    <row r="20" spans="1:16" x14ac:dyDescent="0.35">
      <c r="A20" s="43" t="s">
        <v>31</v>
      </c>
      <c r="B20" s="41"/>
      <c r="C20" s="42">
        <v>1401</v>
      </c>
      <c r="D20" s="42">
        <v>1391</v>
      </c>
      <c r="E20" s="42">
        <v>1368</v>
      </c>
      <c r="F20" s="42">
        <v>1419</v>
      </c>
      <c r="G20" s="42">
        <v>1424</v>
      </c>
      <c r="H20" s="42">
        <v>1477</v>
      </c>
      <c r="I20" s="42">
        <v>1419</v>
      </c>
      <c r="J20" s="42">
        <v>1463</v>
      </c>
      <c r="K20" s="42">
        <v>1407</v>
      </c>
      <c r="L20" s="42">
        <v>1359</v>
      </c>
      <c r="M20" s="42">
        <f t="shared" si="2"/>
        <v>1412.8</v>
      </c>
      <c r="N20" s="42">
        <f t="shared" si="3"/>
        <v>3698429.3193717273</v>
      </c>
      <c r="O20" s="41">
        <f t="shared" si="4"/>
        <v>35.204545161101002</v>
      </c>
      <c r="P20" s="41">
        <f t="shared" si="5"/>
        <v>2.4918279417540348E-2</v>
      </c>
    </row>
    <row r="21" spans="1:16" x14ac:dyDescent="0.35">
      <c r="A21" s="43" t="s">
        <v>32</v>
      </c>
      <c r="B21" s="41"/>
      <c r="C21" s="42">
        <v>1262</v>
      </c>
      <c r="D21" s="42">
        <v>1236</v>
      </c>
      <c r="E21" s="42">
        <v>1201</v>
      </c>
      <c r="F21" s="42">
        <v>1296</v>
      </c>
      <c r="G21" s="42">
        <v>1339</v>
      </c>
      <c r="H21" s="42">
        <v>1302</v>
      </c>
      <c r="I21" s="42">
        <v>1283</v>
      </c>
      <c r="J21" s="42">
        <v>1302</v>
      </c>
      <c r="K21" s="42">
        <v>1340</v>
      </c>
      <c r="L21" s="42">
        <v>1353</v>
      </c>
      <c r="M21" s="42">
        <f t="shared" si="2"/>
        <v>1291.4000000000001</v>
      </c>
      <c r="N21" s="42">
        <f t="shared" si="3"/>
        <v>3380628.2722513089</v>
      </c>
      <c r="O21" s="41">
        <f t="shared" si="4"/>
        <v>45.655667775206183</v>
      </c>
      <c r="P21" s="41">
        <f t="shared" si="5"/>
        <v>3.535362225120503E-2</v>
      </c>
    </row>
    <row r="22" spans="1:16" x14ac:dyDescent="0.35">
      <c r="A22" s="43" t="s">
        <v>33</v>
      </c>
      <c r="B22" s="41"/>
      <c r="C22" s="42">
        <v>1255</v>
      </c>
      <c r="D22" s="42">
        <v>1252</v>
      </c>
      <c r="E22" s="42">
        <v>1278</v>
      </c>
      <c r="F22" s="42">
        <v>1240</v>
      </c>
      <c r="G22" s="42">
        <v>1292</v>
      </c>
      <c r="H22" s="42">
        <v>1293</v>
      </c>
      <c r="I22" s="42">
        <v>1281</v>
      </c>
      <c r="J22" s="42">
        <v>1268</v>
      </c>
      <c r="K22" s="42">
        <v>1254</v>
      </c>
      <c r="L22" s="42">
        <v>1245</v>
      </c>
      <c r="M22" s="42">
        <f t="shared" si="2"/>
        <v>1265.8</v>
      </c>
      <c r="N22" s="42">
        <f t="shared" si="3"/>
        <v>3313612.5654450259</v>
      </c>
      <c r="O22" s="41">
        <f t="shared" si="4"/>
        <v>18.318296864064628</v>
      </c>
      <c r="P22" s="41">
        <f t="shared" si="5"/>
        <v>1.4471715013481299E-2</v>
      </c>
    </row>
    <row r="23" spans="1:16" x14ac:dyDescent="0.35">
      <c r="A23" s="43" t="s">
        <v>34</v>
      </c>
      <c r="B23" s="41"/>
      <c r="C23" s="42">
        <v>1195</v>
      </c>
      <c r="D23" s="42">
        <v>1192</v>
      </c>
      <c r="E23" s="42">
        <v>1221</v>
      </c>
      <c r="F23" s="42">
        <v>1234</v>
      </c>
      <c r="G23" s="42">
        <v>1262</v>
      </c>
      <c r="H23" s="42">
        <v>1287</v>
      </c>
      <c r="I23" s="42">
        <v>1299</v>
      </c>
      <c r="J23" s="42">
        <v>1271</v>
      </c>
      <c r="K23" s="42">
        <v>1236</v>
      </c>
      <c r="L23" s="42">
        <v>1288</v>
      </c>
      <c r="M23" s="42">
        <f t="shared" si="2"/>
        <v>1248.5</v>
      </c>
      <c r="N23" s="42">
        <f t="shared" si="3"/>
        <v>3268324.6073298426</v>
      </c>
      <c r="O23" s="41">
        <f t="shared" si="4"/>
        <v>36.685828326480511</v>
      </c>
      <c r="P23" s="41">
        <f t="shared" si="5"/>
        <v>2.9383923369227481E-2</v>
      </c>
    </row>
    <row r="24" spans="1:16" x14ac:dyDescent="0.35">
      <c r="A24" s="49" t="s">
        <v>35</v>
      </c>
      <c r="B24" s="45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6"/>
      <c r="P24" s="46"/>
    </row>
    <row r="25" spans="1:16" x14ac:dyDescent="0.35">
      <c r="A25" s="42" t="s">
        <v>36</v>
      </c>
      <c r="B25" s="40"/>
      <c r="C25" s="42">
        <v>1137</v>
      </c>
      <c r="D25" s="42">
        <v>1130</v>
      </c>
      <c r="E25" s="42">
        <v>1140</v>
      </c>
      <c r="F25" s="42">
        <v>1125</v>
      </c>
      <c r="G25" s="42">
        <v>1122</v>
      </c>
      <c r="H25" s="42">
        <v>1141</v>
      </c>
      <c r="I25" s="42">
        <v>1076</v>
      </c>
      <c r="J25" s="42">
        <v>1108</v>
      </c>
      <c r="K25" s="42">
        <v>1101</v>
      </c>
      <c r="L25" s="42">
        <v>1130</v>
      </c>
      <c r="M25" s="42">
        <f t="shared" si="2"/>
        <v>1121</v>
      </c>
      <c r="N25" s="42">
        <f t="shared" si="3"/>
        <v>2934554.9738219893</v>
      </c>
      <c r="O25" s="41">
        <f t="shared" ref="O25:O34" si="6">_xlfn.STDEV.P(C25:L25)</f>
        <v>19.467922333931785</v>
      </c>
      <c r="P25" s="41">
        <f t="shared" ref="P25:P34" si="7">O25/M25</f>
        <v>1.7366567648467248E-2</v>
      </c>
    </row>
    <row r="26" spans="1:16" x14ac:dyDescent="0.35">
      <c r="A26" s="42" t="s">
        <v>37</v>
      </c>
      <c r="B26" s="40"/>
      <c r="C26" s="42">
        <v>1225</v>
      </c>
      <c r="D26" s="42">
        <v>1196</v>
      </c>
      <c r="E26" s="42">
        <v>1240</v>
      </c>
      <c r="F26" s="42">
        <v>1197</v>
      </c>
      <c r="G26" s="42">
        <v>1253</v>
      </c>
      <c r="H26" s="42">
        <v>1266</v>
      </c>
      <c r="I26" s="42">
        <v>1234</v>
      </c>
      <c r="J26" s="42">
        <v>1276</v>
      </c>
      <c r="K26" s="42">
        <v>1288</v>
      </c>
      <c r="L26" s="42">
        <v>1232</v>
      </c>
      <c r="M26" s="42">
        <f t="shared" si="2"/>
        <v>1240.7</v>
      </c>
      <c r="N26" s="42">
        <f t="shared" si="3"/>
        <v>3247905.7591623035</v>
      </c>
      <c r="O26" s="41">
        <f t="shared" si="6"/>
        <v>29.240554030318918</v>
      </c>
      <c r="P26" s="41">
        <f t="shared" si="7"/>
        <v>2.3567787563729278E-2</v>
      </c>
    </row>
    <row r="27" spans="1:16" x14ac:dyDescent="0.35">
      <c r="A27" s="42" t="s">
        <v>38</v>
      </c>
      <c r="B27" s="40"/>
      <c r="C27" s="42">
        <v>1206</v>
      </c>
      <c r="D27" s="42">
        <v>1159</v>
      </c>
      <c r="E27" s="42">
        <v>1179</v>
      </c>
      <c r="F27" s="42">
        <v>1186</v>
      </c>
      <c r="G27" s="42">
        <v>1161</v>
      </c>
      <c r="H27" s="42">
        <v>1129</v>
      </c>
      <c r="I27" s="42">
        <v>1153</v>
      </c>
      <c r="J27" s="42">
        <v>1096</v>
      </c>
      <c r="K27" s="42">
        <v>1192</v>
      </c>
      <c r="L27" s="42">
        <v>1156</v>
      </c>
      <c r="M27" s="42">
        <f t="shared" si="2"/>
        <v>1161.7</v>
      </c>
      <c r="N27" s="42">
        <f t="shared" si="3"/>
        <v>3041099.4764397908</v>
      </c>
      <c r="O27" s="41">
        <f t="shared" si="6"/>
        <v>30.450123152460318</v>
      </c>
      <c r="P27" s="41">
        <f t="shared" si="7"/>
        <v>2.6211692478660856E-2</v>
      </c>
    </row>
    <row r="28" spans="1:16" x14ac:dyDescent="0.35">
      <c r="A28" s="42" t="s">
        <v>39</v>
      </c>
      <c r="B28" s="40"/>
      <c r="C28" s="42">
        <v>1119</v>
      </c>
      <c r="D28" s="42">
        <v>1113</v>
      </c>
      <c r="E28" s="42">
        <v>1114</v>
      </c>
      <c r="F28" s="42">
        <v>1101</v>
      </c>
      <c r="G28" s="42">
        <v>1141</v>
      </c>
      <c r="H28" s="42">
        <v>1118</v>
      </c>
      <c r="I28" s="42">
        <v>1143</v>
      </c>
      <c r="J28" s="42">
        <v>1120</v>
      </c>
      <c r="K28" s="42">
        <v>1158</v>
      </c>
      <c r="L28" s="42">
        <v>1124</v>
      </c>
      <c r="M28" s="42">
        <f t="shared" si="2"/>
        <v>1125.0999999999999</v>
      </c>
      <c r="N28" s="42">
        <f t="shared" si="3"/>
        <v>2945287.9581151828</v>
      </c>
      <c r="O28" s="41">
        <f t="shared" si="6"/>
        <v>16.189193926814269</v>
      </c>
      <c r="P28" s="41">
        <f t="shared" si="7"/>
        <v>1.4389115569117652E-2</v>
      </c>
    </row>
    <row r="29" spans="1:16" x14ac:dyDescent="0.35">
      <c r="A29" s="42" t="s">
        <v>40</v>
      </c>
      <c r="B29" s="41"/>
      <c r="C29" s="42">
        <v>1175</v>
      </c>
      <c r="D29" s="42">
        <v>1197</v>
      </c>
      <c r="E29" s="42">
        <v>1209</v>
      </c>
      <c r="F29" s="42">
        <v>1201</v>
      </c>
      <c r="G29" s="42">
        <v>1219</v>
      </c>
      <c r="H29" s="42">
        <v>1198</v>
      </c>
      <c r="I29" s="42">
        <v>1203</v>
      </c>
      <c r="J29" s="42">
        <v>1189</v>
      </c>
      <c r="K29" s="42">
        <v>1222</v>
      </c>
      <c r="L29" s="42">
        <v>1211</v>
      </c>
      <c r="M29" s="42">
        <f t="shared" si="2"/>
        <v>1202.4000000000001</v>
      </c>
      <c r="N29" s="42">
        <f t="shared" si="3"/>
        <v>3147643.9790575919</v>
      </c>
      <c r="O29" s="41">
        <f t="shared" si="6"/>
        <v>13.260467563400621</v>
      </c>
      <c r="P29" s="41">
        <f t="shared" si="7"/>
        <v>1.1028332970226729E-2</v>
      </c>
    </row>
    <row r="30" spans="1:16" x14ac:dyDescent="0.35">
      <c r="A30" s="42" t="s">
        <v>41</v>
      </c>
      <c r="B30" s="41"/>
      <c r="C30" s="42">
        <v>1170</v>
      </c>
      <c r="D30" s="42">
        <v>1130</v>
      </c>
      <c r="E30" s="42">
        <v>1163</v>
      </c>
      <c r="F30" s="42">
        <v>1159</v>
      </c>
      <c r="G30" s="42">
        <v>1175</v>
      </c>
      <c r="H30" s="42">
        <v>1144</v>
      </c>
      <c r="I30" s="42">
        <v>1150</v>
      </c>
      <c r="J30" s="42">
        <v>1169</v>
      </c>
      <c r="K30" s="42">
        <v>1189</v>
      </c>
      <c r="L30" s="42">
        <v>1138</v>
      </c>
      <c r="M30" s="42">
        <f t="shared" si="2"/>
        <v>1158.7</v>
      </c>
      <c r="N30" s="42">
        <f t="shared" si="3"/>
        <v>3033246.0732984291</v>
      </c>
      <c r="O30" s="41">
        <f t="shared" si="6"/>
        <v>17.262966141425405</v>
      </c>
      <c r="P30" s="41">
        <f t="shared" si="7"/>
        <v>1.4898564029882976E-2</v>
      </c>
    </row>
    <row r="31" spans="1:16" x14ac:dyDescent="0.35">
      <c r="A31" s="42" t="s">
        <v>42</v>
      </c>
      <c r="B31" s="41"/>
      <c r="C31" s="42">
        <v>1204</v>
      </c>
      <c r="D31" s="42">
        <v>1218</v>
      </c>
      <c r="E31" s="42">
        <v>1229</v>
      </c>
      <c r="F31" s="42">
        <v>1140</v>
      </c>
      <c r="G31" s="42">
        <v>1231</v>
      </c>
      <c r="H31" s="42">
        <v>1249</v>
      </c>
      <c r="I31" s="42">
        <v>1272</v>
      </c>
      <c r="J31" s="42">
        <v>1207</v>
      </c>
      <c r="K31" s="42">
        <v>1200</v>
      </c>
      <c r="L31" s="42">
        <v>1234</v>
      </c>
      <c r="M31" s="42">
        <f t="shared" si="2"/>
        <v>1218.4000000000001</v>
      </c>
      <c r="N31" s="42">
        <f t="shared" si="3"/>
        <v>3189528.7958115186</v>
      </c>
      <c r="O31" s="41">
        <f t="shared" si="6"/>
        <v>33.386224704209965</v>
      </c>
      <c r="P31" s="41">
        <f t="shared" si="7"/>
        <v>2.7401694602930043E-2</v>
      </c>
    </row>
    <row r="32" spans="1:16" x14ac:dyDescent="0.35">
      <c r="A32" s="42" t="s">
        <v>43</v>
      </c>
      <c r="B32" s="41"/>
      <c r="C32" s="42">
        <v>1192</v>
      </c>
      <c r="D32" s="42">
        <v>1190</v>
      </c>
      <c r="E32" s="42">
        <v>1234</v>
      </c>
      <c r="F32" s="42">
        <v>1205</v>
      </c>
      <c r="G32" s="42">
        <v>1233</v>
      </c>
      <c r="H32" s="42">
        <v>1203</v>
      </c>
      <c r="I32" s="42">
        <v>1220</v>
      </c>
      <c r="J32" s="42">
        <v>1195</v>
      </c>
      <c r="K32" s="42">
        <v>1213</v>
      </c>
      <c r="L32" s="42">
        <v>1243</v>
      </c>
      <c r="M32" s="42">
        <f t="shared" si="2"/>
        <v>1212.8</v>
      </c>
      <c r="N32" s="42">
        <f t="shared" si="3"/>
        <v>3174869.1099476437</v>
      </c>
      <c r="O32" s="41">
        <f t="shared" si="6"/>
        <v>18.021098745637012</v>
      </c>
      <c r="P32" s="41">
        <f t="shared" si="7"/>
        <v>1.4859085377339225E-2</v>
      </c>
    </row>
    <row r="33" spans="1:16" x14ac:dyDescent="0.35">
      <c r="A33" s="42" t="s">
        <v>44</v>
      </c>
      <c r="B33" s="41"/>
      <c r="C33" s="42">
        <v>1302</v>
      </c>
      <c r="D33" s="42">
        <v>1315</v>
      </c>
      <c r="E33" s="42">
        <v>1249</v>
      </c>
      <c r="F33" s="42">
        <v>1314</v>
      </c>
      <c r="G33" s="42">
        <v>1330</v>
      </c>
      <c r="H33" s="42">
        <v>1327</v>
      </c>
      <c r="I33" s="42">
        <v>1369</v>
      </c>
      <c r="J33" s="42">
        <v>1334</v>
      </c>
      <c r="K33" s="42">
        <v>1341</v>
      </c>
      <c r="L33" s="42">
        <v>1320</v>
      </c>
      <c r="M33" s="42">
        <f t="shared" si="2"/>
        <v>1320.1</v>
      </c>
      <c r="N33" s="42">
        <f t="shared" si="3"/>
        <v>3455759.1623036647</v>
      </c>
      <c r="O33" s="41">
        <f t="shared" si="6"/>
        <v>29.347742672989352</v>
      </c>
      <c r="P33" s="41">
        <f t="shared" si="7"/>
        <v>2.2231454187553484E-2</v>
      </c>
    </row>
    <row r="34" spans="1:16" x14ac:dyDescent="0.35">
      <c r="A34" s="42" t="s">
        <v>45</v>
      </c>
      <c r="B34" s="41"/>
      <c r="C34" s="42">
        <v>1085</v>
      </c>
      <c r="D34" s="42">
        <v>1096</v>
      </c>
      <c r="E34" s="42">
        <v>1088</v>
      </c>
      <c r="F34" s="42">
        <v>1095</v>
      </c>
      <c r="G34" s="42">
        <v>1099</v>
      </c>
      <c r="H34" s="42">
        <v>1113</v>
      </c>
      <c r="I34" s="42">
        <v>1091</v>
      </c>
      <c r="J34" s="42">
        <v>1091</v>
      </c>
      <c r="K34" s="42">
        <v>1090</v>
      </c>
      <c r="L34" s="42">
        <v>1092</v>
      </c>
      <c r="M34" s="42">
        <f t="shared" si="2"/>
        <v>1094</v>
      </c>
      <c r="N34" s="42">
        <f t="shared" si="3"/>
        <v>2863874.345549738</v>
      </c>
      <c r="O34" s="41">
        <f t="shared" si="6"/>
        <v>7.3891812807644666</v>
      </c>
      <c r="P34" s="41">
        <f t="shared" si="7"/>
        <v>6.7542790500589277E-3</v>
      </c>
    </row>
    <row r="35" spans="1:16" x14ac:dyDescent="0.35">
      <c r="A35" s="50" t="s">
        <v>46</v>
      </c>
      <c r="B35" s="4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6"/>
      <c r="P35" s="46"/>
    </row>
    <row r="36" spans="1:16" x14ac:dyDescent="0.35">
      <c r="A36" s="42" t="s">
        <v>47</v>
      </c>
      <c r="B36" s="41"/>
      <c r="C36" s="42">
        <v>1397</v>
      </c>
      <c r="D36" s="42">
        <v>1349</v>
      </c>
      <c r="E36" s="42">
        <v>1410</v>
      </c>
      <c r="F36" s="42">
        <v>1286</v>
      </c>
      <c r="G36" s="42">
        <v>1361</v>
      </c>
      <c r="H36" s="42">
        <v>1224</v>
      </c>
      <c r="I36" s="42">
        <v>1412</v>
      </c>
      <c r="J36" s="42">
        <v>1330</v>
      </c>
      <c r="K36" s="42">
        <v>1381</v>
      </c>
      <c r="L36" s="42">
        <v>1389</v>
      </c>
      <c r="M36" s="42">
        <f t="shared" si="2"/>
        <v>1353.9</v>
      </c>
      <c r="N36" s="42">
        <f t="shared" si="3"/>
        <v>3544240.8376963353</v>
      </c>
      <c r="O36" s="41">
        <f t="shared" ref="O36:O44" si="8">_xlfn.STDEV.P(C36:L36)</f>
        <v>56.988507613377628</v>
      </c>
      <c r="P36" s="41">
        <f t="shared" ref="P36:P44" si="9">O36/M36</f>
        <v>4.2092109914600502E-2</v>
      </c>
    </row>
    <row r="37" spans="1:16" x14ac:dyDescent="0.35">
      <c r="A37" s="42" t="s">
        <v>48</v>
      </c>
      <c r="B37" s="41"/>
      <c r="C37" s="42">
        <v>1165</v>
      </c>
      <c r="D37" s="42">
        <v>1182</v>
      </c>
      <c r="E37" s="42">
        <v>1220</v>
      </c>
      <c r="F37" s="42">
        <v>1203</v>
      </c>
      <c r="G37" s="42">
        <v>1167</v>
      </c>
      <c r="H37" s="42">
        <v>1186</v>
      </c>
      <c r="I37" s="42">
        <v>1155</v>
      </c>
      <c r="J37" s="42">
        <v>1117</v>
      </c>
      <c r="K37" s="42">
        <v>1184</v>
      </c>
      <c r="L37" s="42">
        <v>1169</v>
      </c>
      <c r="M37" s="42">
        <f t="shared" si="2"/>
        <v>1174.8</v>
      </c>
      <c r="N37" s="42">
        <f t="shared" si="3"/>
        <v>3075392.6701570679</v>
      </c>
      <c r="O37" s="41">
        <f t="shared" si="8"/>
        <v>26.502075390429333</v>
      </c>
      <c r="P37" s="41">
        <f t="shared" si="9"/>
        <v>2.255879757442061E-2</v>
      </c>
    </row>
    <row r="38" spans="1:16" x14ac:dyDescent="0.35">
      <c r="A38" s="42" t="s">
        <v>49</v>
      </c>
      <c r="B38" s="41"/>
      <c r="C38" s="42">
        <v>1212</v>
      </c>
      <c r="D38" s="42">
        <v>1225</v>
      </c>
      <c r="E38" s="42">
        <v>1232</v>
      </c>
      <c r="F38" s="42">
        <v>1291</v>
      </c>
      <c r="G38" s="42">
        <v>1208</v>
      </c>
      <c r="H38" s="42">
        <v>1243</v>
      </c>
      <c r="I38" s="42">
        <v>1207</v>
      </c>
      <c r="J38" s="42">
        <v>1160</v>
      </c>
      <c r="K38" s="42">
        <v>1218</v>
      </c>
      <c r="L38" s="42">
        <v>1198</v>
      </c>
      <c r="M38" s="42">
        <f t="shared" si="2"/>
        <v>1219.4000000000001</v>
      </c>
      <c r="N38" s="42">
        <f t="shared" si="3"/>
        <v>3192146.5968586388</v>
      </c>
      <c r="O38" s="41">
        <f t="shared" si="8"/>
        <v>31.938065063494378</v>
      </c>
      <c r="P38" s="41">
        <f t="shared" si="9"/>
        <v>2.6191622981379673E-2</v>
      </c>
    </row>
    <row r="39" spans="1:16" x14ac:dyDescent="0.35">
      <c r="A39" s="42" t="s">
        <v>50</v>
      </c>
      <c r="B39" s="41"/>
      <c r="C39" s="42">
        <v>1137</v>
      </c>
      <c r="D39" s="42">
        <v>1161</v>
      </c>
      <c r="E39" s="42">
        <v>1151</v>
      </c>
      <c r="F39" s="42">
        <v>1150</v>
      </c>
      <c r="G39" s="42">
        <v>1118</v>
      </c>
      <c r="H39" s="42">
        <v>1141</v>
      </c>
      <c r="I39" s="42">
        <v>1145</v>
      </c>
      <c r="J39" s="42">
        <v>1110</v>
      </c>
      <c r="K39" s="42">
        <v>1094</v>
      </c>
      <c r="L39" s="42">
        <v>1142</v>
      </c>
      <c r="M39" s="42">
        <f t="shared" si="2"/>
        <v>1134.9000000000001</v>
      </c>
      <c r="N39" s="42">
        <f t="shared" si="3"/>
        <v>2970942.4083769633</v>
      </c>
      <c r="O39" s="41">
        <f t="shared" si="8"/>
        <v>19.851700179077863</v>
      </c>
      <c r="P39" s="41">
        <f t="shared" si="9"/>
        <v>1.7492025886930884E-2</v>
      </c>
    </row>
    <row r="40" spans="1:16" x14ac:dyDescent="0.35">
      <c r="A40" s="42" t="s">
        <v>51</v>
      </c>
      <c r="B40" s="41"/>
      <c r="C40" s="42">
        <v>1110</v>
      </c>
      <c r="D40" s="42">
        <v>1133</v>
      </c>
      <c r="E40" s="42">
        <v>1100</v>
      </c>
      <c r="F40" s="42">
        <v>1114</v>
      </c>
      <c r="G40" s="42">
        <v>1139</v>
      </c>
      <c r="H40" s="42">
        <v>1128</v>
      </c>
      <c r="I40" s="42">
        <v>1678</v>
      </c>
      <c r="J40" s="42">
        <v>700</v>
      </c>
      <c r="K40" s="42">
        <v>1586</v>
      </c>
      <c r="L40" s="42">
        <v>1126</v>
      </c>
      <c r="M40" s="42">
        <f t="shared" si="2"/>
        <v>1181.4000000000001</v>
      </c>
      <c r="N40" s="42">
        <f t="shared" si="3"/>
        <v>3092670.157068063</v>
      </c>
      <c r="O40" s="41">
        <f t="shared" si="8"/>
        <v>258.53170018394263</v>
      </c>
      <c r="P40" s="41">
        <f t="shared" si="9"/>
        <v>0.218835026395753</v>
      </c>
    </row>
    <row r="41" spans="1:16" x14ac:dyDescent="0.35">
      <c r="A41" s="42" t="s">
        <v>52</v>
      </c>
      <c r="B41" s="41"/>
      <c r="C41" s="42">
        <v>1050</v>
      </c>
      <c r="D41" s="42">
        <v>1075</v>
      </c>
      <c r="E41" s="42">
        <v>1091</v>
      </c>
      <c r="F41" s="42">
        <v>1101</v>
      </c>
      <c r="G41" s="42">
        <v>1117</v>
      </c>
      <c r="H41" s="42">
        <v>1152</v>
      </c>
      <c r="I41" s="42">
        <v>1142</v>
      </c>
      <c r="J41" s="42">
        <v>1095</v>
      </c>
      <c r="K41" s="42">
        <v>1137</v>
      </c>
      <c r="L41" s="42">
        <v>1135</v>
      </c>
      <c r="M41" s="42">
        <f t="shared" si="2"/>
        <v>1109.5</v>
      </c>
      <c r="N41" s="42">
        <f t="shared" si="3"/>
        <v>2904450.2617801046</v>
      </c>
      <c r="O41" s="41">
        <f t="shared" si="8"/>
        <v>31.113501892265358</v>
      </c>
      <c r="P41" s="41">
        <f t="shared" si="9"/>
        <v>2.8042813783024208E-2</v>
      </c>
    </row>
    <row r="42" spans="1:16" x14ac:dyDescent="0.35">
      <c r="A42" s="42" t="s">
        <v>53</v>
      </c>
      <c r="B42" s="41"/>
      <c r="C42" s="42">
        <v>1142</v>
      </c>
      <c r="D42" s="42">
        <v>1129</v>
      </c>
      <c r="E42" s="42">
        <v>1192</v>
      </c>
      <c r="F42" s="42">
        <v>1173</v>
      </c>
      <c r="G42" s="42">
        <v>1177</v>
      </c>
      <c r="H42" s="42">
        <v>1202</v>
      </c>
      <c r="I42" s="42">
        <v>1231</v>
      </c>
      <c r="J42" s="42">
        <v>1233</v>
      </c>
      <c r="K42" s="42">
        <v>1251</v>
      </c>
      <c r="L42" s="42">
        <v>1229</v>
      </c>
      <c r="M42" s="42">
        <f t="shared" si="2"/>
        <v>1195.9000000000001</v>
      </c>
      <c r="N42" s="42">
        <f t="shared" si="3"/>
        <v>3130628.2722513089</v>
      </c>
      <c r="O42" s="41">
        <f t="shared" si="8"/>
        <v>38.80064432454698</v>
      </c>
      <c r="P42" s="41">
        <f t="shared" si="9"/>
        <v>3.2444723074292983E-2</v>
      </c>
    </row>
    <row r="43" spans="1:16" x14ac:dyDescent="0.35">
      <c r="A43" s="42" t="s">
        <v>54</v>
      </c>
      <c r="B43" s="41"/>
      <c r="C43" s="42">
        <v>1106</v>
      </c>
      <c r="D43" s="42">
        <v>1110</v>
      </c>
      <c r="E43" s="42">
        <v>1182</v>
      </c>
      <c r="F43" s="42">
        <v>1196</v>
      </c>
      <c r="G43" s="42">
        <v>1231</v>
      </c>
      <c r="H43" s="42">
        <v>1238</v>
      </c>
      <c r="I43" s="42">
        <v>1284</v>
      </c>
      <c r="J43" s="42">
        <v>1297</v>
      </c>
      <c r="K43" s="42">
        <v>1374</v>
      </c>
      <c r="L43" s="42">
        <v>1344</v>
      </c>
      <c r="M43" s="42">
        <f t="shared" si="2"/>
        <v>1236.2</v>
      </c>
      <c r="N43" s="42">
        <f t="shared" si="3"/>
        <v>3236125.654450262</v>
      </c>
      <c r="O43" s="41">
        <f t="shared" si="8"/>
        <v>86.05440139818532</v>
      </c>
      <c r="P43" s="41">
        <f t="shared" si="9"/>
        <v>6.9612038018269956E-2</v>
      </c>
    </row>
    <row r="44" spans="1:16" x14ac:dyDescent="0.35">
      <c r="A44" s="42" t="s">
        <v>55</v>
      </c>
      <c r="B44" s="41"/>
      <c r="C44" s="42">
        <v>1063</v>
      </c>
      <c r="D44" s="42">
        <v>1074</v>
      </c>
      <c r="E44" s="42">
        <v>1079</v>
      </c>
      <c r="F44" s="42">
        <v>1066</v>
      </c>
      <c r="G44" s="42">
        <v>1122</v>
      </c>
      <c r="H44" s="42">
        <v>1344</v>
      </c>
      <c r="I44" s="42">
        <v>1103</v>
      </c>
      <c r="J44" s="42">
        <v>1141</v>
      </c>
      <c r="K44" s="42">
        <v>1124</v>
      </c>
      <c r="L44" s="42">
        <v>1139</v>
      </c>
      <c r="M44" s="42">
        <f t="shared" si="2"/>
        <v>1125.5</v>
      </c>
      <c r="N44" s="42">
        <f t="shared" si="3"/>
        <v>2946335.0785340313</v>
      </c>
      <c r="O44" s="41">
        <f t="shared" si="8"/>
        <v>78.068239380685412</v>
      </c>
      <c r="P44" s="41">
        <f t="shared" si="9"/>
        <v>6.9363162488392194E-2</v>
      </c>
    </row>
    <row r="45" spans="1:16" x14ac:dyDescent="0.35">
      <c r="A45" s="42" t="s">
        <v>56</v>
      </c>
      <c r="B45" s="41"/>
      <c r="C45" s="42">
        <v>1105</v>
      </c>
      <c r="D45" s="42">
        <v>1123</v>
      </c>
      <c r="E45" s="42">
        <v>1144</v>
      </c>
      <c r="F45" s="42">
        <v>1177</v>
      </c>
      <c r="G45" s="42">
        <v>1105</v>
      </c>
      <c r="H45" s="42">
        <v>990</v>
      </c>
      <c r="I45" s="42">
        <v>1323</v>
      </c>
      <c r="J45" s="42">
        <v>546</v>
      </c>
      <c r="K45" s="42">
        <v>1438</v>
      </c>
      <c r="L45" s="42">
        <v>1265</v>
      </c>
      <c r="M45" s="42">
        <f t="shared" si="2"/>
        <v>1121.5999999999999</v>
      </c>
      <c r="N45" s="42">
        <f t="shared" si="3"/>
        <v>2936125.6544502615</v>
      </c>
      <c r="O45" s="41">
        <f t="shared" ref="O45" si="10">_xlfn.STDEV.P(C45:L45)</f>
        <v>226.71400486074961</v>
      </c>
      <c r="P45" s="41">
        <f t="shared" ref="P45" si="11">O45/M45</f>
        <v>0.20213445511835737</v>
      </c>
    </row>
    <row r="46" spans="1:16" x14ac:dyDescent="0.35">
      <c r="A46" s="51" t="s">
        <v>57</v>
      </c>
      <c r="B46" s="46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6"/>
      <c r="P46" s="46"/>
    </row>
    <row r="47" spans="1:16" x14ac:dyDescent="0.35">
      <c r="A47" s="42" t="s">
        <v>58</v>
      </c>
      <c r="B47" s="41"/>
      <c r="C47" s="42">
        <v>1332</v>
      </c>
      <c r="D47" s="42">
        <v>1328</v>
      </c>
      <c r="E47" s="42">
        <v>1350</v>
      </c>
      <c r="F47" s="42">
        <v>1335</v>
      </c>
      <c r="G47" s="42">
        <v>1295</v>
      </c>
      <c r="H47" s="42">
        <v>1327</v>
      </c>
      <c r="I47" s="42">
        <v>1322</v>
      </c>
      <c r="J47" s="42">
        <v>1330</v>
      </c>
      <c r="K47" s="42">
        <v>1288</v>
      </c>
      <c r="L47" s="42">
        <v>1369</v>
      </c>
      <c r="M47" s="42">
        <f t="shared" si="2"/>
        <v>1327.6</v>
      </c>
      <c r="N47" s="42">
        <f t="shared" si="3"/>
        <v>3475392.6701570675</v>
      </c>
      <c r="O47" s="41">
        <f t="shared" ref="O47:O56" si="12">_xlfn.STDEV.P(C47:L47)</f>
        <v>22.267465055546847</v>
      </c>
      <c r="P47" s="41">
        <f t="shared" ref="P47:P56" si="13">O47/M47</f>
        <v>1.6772721494084701E-2</v>
      </c>
    </row>
    <row r="48" spans="1:16" x14ac:dyDescent="0.35">
      <c r="A48" s="42" t="s">
        <v>59</v>
      </c>
      <c r="B48" s="41"/>
      <c r="C48" s="42">
        <v>1315</v>
      </c>
      <c r="D48" s="42">
        <v>1317</v>
      </c>
      <c r="E48" s="42">
        <v>1273</v>
      </c>
      <c r="F48" s="42">
        <v>1296</v>
      </c>
      <c r="G48" s="42">
        <v>1294</v>
      </c>
      <c r="H48" s="42">
        <v>1287</v>
      </c>
      <c r="I48" s="42">
        <v>1295</v>
      </c>
      <c r="J48" s="42">
        <v>1286</v>
      </c>
      <c r="K48" s="42">
        <v>1255</v>
      </c>
      <c r="L48" s="42">
        <v>1255</v>
      </c>
      <c r="M48" s="42">
        <f t="shared" si="2"/>
        <v>1287.3</v>
      </c>
      <c r="N48" s="42">
        <f t="shared" si="3"/>
        <v>3369895.2879581149</v>
      </c>
      <c r="O48" s="41">
        <f t="shared" si="12"/>
        <v>20.302955449884628</v>
      </c>
      <c r="P48" s="41">
        <f t="shared" si="13"/>
        <v>1.5771735764689373E-2</v>
      </c>
    </row>
    <row r="49" spans="1:16" x14ac:dyDescent="0.35">
      <c r="A49" s="42" t="s">
        <v>60</v>
      </c>
      <c r="B49" s="41"/>
      <c r="C49" s="42">
        <v>1243</v>
      </c>
      <c r="D49" s="42">
        <v>1262</v>
      </c>
      <c r="E49" s="42">
        <v>1251</v>
      </c>
      <c r="F49" s="42">
        <v>1207</v>
      </c>
      <c r="G49" s="42">
        <v>1228</v>
      </c>
      <c r="H49" s="42">
        <v>1246</v>
      </c>
      <c r="I49" s="42">
        <v>1215</v>
      </c>
      <c r="J49" s="42">
        <v>1258</v>
      </c>
      <c r="K49" s="42">
        <v>1206</v>
      </c>
      <c r="L49" s="42">
        <v>1229</v>
      </c>
      <c r="M49" s="42">
        <f t="shared" si="2"/>
        <v>1234.5</v>
      </c>
      <c r="N49" s="42">
        <f t="shared" si="3"/>
        <v>3231675.3926701569</v>
      </c>
      <c r="O49" s="41">
        <f t="shared" si="12"/>
        <v>19.510253714393361</v>
      </c>
      <c r="P49" s="41">
        <f t="shared" si="13"/>
        <v>1.5804174738269228E-2</v>
      </c>
    </row>
    <row r="50" spans="1:16" x14ac:dyDescent="0.35">
      <c r="A50" s="42" t="s">
        <v>61</v>
      </c>
      <c r="B50" s="41"/>
      <c r="C50" s="42">
        <v>1218</v>
      </c>
      <c r="D50" s="42">
        <v>1208</v>
      </c>
      <c r="E50" s="42">
        <v>1185</v>
      </c>
      <c r="F50" s="42">
        <v>1234</v>
      </c>
      <c r="G50" s="42">
        <v>1217</v>
      </c>
      <c r="H50" s="42">
        <v>1222</v>
      </c>
      <c r="I50" s="42">
        <v>1192</v>
      </c>
      <c r="J50" s="42">
        <v>1215</v>
      </c>
      <c r="K50" s="42">
        <v>1197</v>
      </c>
      <c r="L50" s="42">
        <v>1170</v>
      </c>
      <c r="M50" s="42">
        <f t="shared" si="2"/>
        <v>1205.8</v>
      </c>
      <c r="N50" s="42">
        <f t="shared" si="3"/>
        <v>3156544.5026178006</v>
      </c>
      <c r="O50" s="41">
        <f t="shared" si="12"/>
        <v>18.448848202530151</v>
      </c>
      <c r="P50" s="41">
        <f t="shared" si="13"/>
        <v>1.5300089735055691E-2</v>
      </c>
    </row>
    <row r="51" spans="1:16" x14ac:dyDescent="0.35">
      <c r="A51" s="42" t="s">
        <v>62</v>
      </c>
      <c r="B51" s="41"/>
      <c r="C51" s="42">
        <v>1557</v>
      </c>
      <c r="D51" s="42">
        <v>1626</v>
      </c>
      <c r="E51" s="42">
        <v>1649</v>
      </c>
      <c r="F51" s="42">
        <v>1718</v>
      </c>
      <c r="G51" s="42">
        <v>1690</v>
      </c>
      <c r="H51" s="42">
        <v>1702</v>
      </c>
      <c r="I51" s="42">
        <v>1381</v>
      </c>
      <c r="J51" s="42">
        <v>1673</v>
      </c>
      <c r="K51" s="42">
        <v>1709</v>
      </c>
      <c r="L51" s="42">
        <v>1661</v>
      </c>
      <c r="M51" s="42">
        <f t="shared" si="2"/>
        <v>1636.6</v>
      </c>
      <c r="N51" s="42">
        <f t="shared" si="3"/>
        <v>4284293.1937172767</v>
      </c>
      <c r="O51" s="41">
        <f t="shared" si="12"/>
        <v>96.358912405651395</v>
      </c>
      <c r="P51" s="41">
        <f t="shared" si="13"/>
        <v>5.8877497498259442E-2</v>
      </c>
    </row>
    <row r="52" spans="1:16" x14ac:dyDescent="0.35">
      <c r="A52" s="42" t="s">
        <v>63</v>
      </c>
      <c r="B52" s="41"/>
      <c r="C52" s="42">
        <v>1545</v>
      </c>
      <c r="D52" s="42">
        <v>1391</v>
      </c>
      <c r="E52" s="42">
        <v>1454</v>
      </c>
      <c r="F52" s="42">
        <v>1477</v>
      </c>
      <c r="G52" s="42">
        <v>1487</v>
      </c>
      <c r="H52" s="42">
        <v>1445</v>
      </c>
      <c r="I52" s="42">
        <v>1481</v>
      </c>
      <c r="J52" s="42">
        <v>1402</v>
      </c>
      <c r="K52" s="42">
        <v>1525</v>
      </c>
      <c r="L52" s="42">
        <v>1538</v>
      </c>
      <c r="M52" s="42">
        <f t="shared" si="2"/>
        <v>1474.5</v>
      </c>
      <c r="N52" s="42">
        <f t="shared" si="3"/>
        <v>3859947.6439790577</v>
      </c>
      <c r="O52" s="41">
        <f t="shared" si="12"/>
        <v>50.275739676309094</v>
      </c>
      <c r="P52" s="41">
        <f t="shared" si="13"/>
        <v>3.409680547732051E-2</v>
      </c>
    </row>
    <row r="53" spans="1:16" x14ac:dyDescent="0.35">
      <c r="A53" s="42" t="s">
        <v>64</v>
      </c>
      <c r="B53" s="41"/>
      <c r="C53" s="42">
        <v>1478</v>
      </c>
      <c r="D53" s="42">
        <v>1585</v>
      </c>
      <c r="E53" s="42">
        <v>1520</v>
      </c>
      <c r="F53" s="42">
        <v>1528</v>
      </c>
      <c r="G53" s="42">
        <v>1523</v>
      </c>
      <c r="H53" s="42">
        <v>1557</v>
      </c>
      <c r="I53" s="42">
        <v>1622</v>
      </c>
      <c r="J53" s="42">
        <v>1535</v>
      </c>
      <c r="K53" s="42">
        <v>1600</v>
      </c>
      <c r="L53" s="42">
        <v>1569</v>
      </c>
      <c r="M53" s="42">
        <f t="shared" si="2"/>
        <v>1551.7</v>
      </c>
      <c r="N53" s="42">
        <f t="shared" si="3"/>
        <v>4062041.8848167537</v>
      </c>
      <c r="O53" s="41">
        <f t="shared" si="12"/>
        <v>41.002560895631873</v>
      </c>
      <c r="P53" s="41">
        <f t="shared" si="13"/>
        <v>2.6424283621596874E-2</v>
      </c>
    </row>
    <row r="54" spans="1:16" x14ac:dyDescent="0.35">
      <c r="A54" s="42" t="s">
        <v>65</v>
      </c>
      <c r="B54" s="41"/>
      <c r="C54" s="42">
        <v>1584</v>
      </c>
      <c r="D54" s="42">
        <v>1662</v>
      </c>
      <c r="E54" s="42">
        <v>1629</v>
      </c>
      <c r="F54" s="42">
        <v>1607</v>
      </c>
      <c r="G54" s="42">
        <v>1565</v>
      </c>
      <c r="H54" s="42">
        <v>1421</v>
      </c>
      <c r="I54" s="42">
        <v>1685</v>
      </c>
      <c r="J54" s="42">
        <v>1630</v>
      </c>
      <c r="K54" s="42">
        <v>1473</v>
      </c>
      <c r="L54" s="42">
        <v>1592</v>
      </c>
      <c r="M54" s="42">
        <f t="shared" si="2"/>
        <v>1584.8</v>
      </c>
      <c r="N54" s="42">
        <f t="shared" si="3"/>
        <v>4148691.0994764394</v>
      </c>
      <c r="O54" s="41">
        <f t="shared" si="12"/>
        <v>77.629633517104793</v>
      </c>
      <c r="P54" s="41">
        <f t="shared" si="13"/>
        <v>4.8983867691257441E-2</v>
      </c>
    </row>
    <row r="55" spans="1:16" x14ac:dyDescent="0.35">
      <c r="A55" s="42" t="s">
        <v>66</v>
      </c>
      <c r="B55" s="41"/>
      <c r="C55" s="42">
        <v>1143</v>
      </c>
      <c r="D55" s="42">
        <v>1168</v>
      </c>
      <c r="E55" s="42">
        <v>1096</v>
      </c>
      <c r="F55" s="42">
        <v>1159</v>
      </c>
      <c r="G55" s="42">
        <v>1186</v>
      </c>
      <c r="H55" s="42">
        <v>1116</v>
      </c>
      <c r="I55" s="42">
        <v>1108</v>
      </c>
      <c r="J55" s="42">
        <v>1190</v>
      </c>
      <c r="K55" s="42">
        <v>1276</v>
      </c>
      <c r="L55" s="42">
        <v>1216</v>
      </c>
      <c r="M55" s="42">
        <f t="shared" si="2"/>
        <v>1165.8</v>
      </c>
      <c r="N55" s="42">
        <f t="shared" si="3"/>
        <v>3051832.4607329839</v>
      </c>
      <c r="O55" s="41">
        <f t="shared" si="12"/>
        <v>51.886028948070404</v>
      </c>
      <c r="P55" s="41">
        <f t="shared" si="13"/>
        <v>4.4506801293592732E-2</v>
      </c>
    </row>
    <row r="56" spans="1:16" x14ac:dyDescent="0.35">
      <c r="A56" s="42" t="s">
        <v>67</v>
      </c>
      <c r="B56" s="41"/>
      <c r="C56" s="42">
        <v>1414</v>
      </c>
      <c r="D56" s="42">
        <v>1342</v>
      </c>
      <c r="E56" s="42">
        <v>1444</v>
      </c>
      <c r="F56" s="42">
        <v>1477</v>
      </c>
      <c r="G56" s="42">
        <v>1422</v>
      </c>
      <c r="H56" s="42">
        <v>1371</v>
      </c>
      <c r="I56" s="42">
        <v>1311</v>
      </c>
      <c r="J56" s="42">
        <v>1459</v>
      </c>
      <c r="K56" s="42">
        <v>1422</v>
      </c>
      <c r="L56" s="42">
        <v>1252</v>
      </c>
      <c r="M56" s="42">
        <f t="shared" si="2"/>
        <v>1391.4</v>
      </c>
      <c r="N56" s="42">
        <f t="shared" si="3"/>
        <v>3642408.3769633509</v>
      </c>
      <c r="O56" s="41">
        <f t="shared" si="12"/>
        <v>67.675992789171545</v>
      </c>
      <c r="P56" s="41">
        <f t="shared" si="13"/>
        <v>4.8638775901373825E-2</v>
      </c>
    </row>
    <row r="57" spans="1:16" x14ac:dyDescent="0.35">
      <c r="A57" s="51" t="s">
        <v>68</v>
      </c>
      <c r="B57" s="46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6"/>
      <c r="P57" s="46"/>
    </row>
    <row r="58" spans="1:16" x14ac:dyDescent="0.35">
      <c r="A58" s="42" t="s">
        <v>69</v>
      </c>
      <c r="B58" s="41"/>
      <c r="C58" s="42">
        <v>1237</v>
      </c>
      <c r="D58" s="42">
        <v>1190</v>
      </c>
      <c r="E58" s="42">
        <v>1193</v>
      </c>
      <c r="F58" s="42">
        <v>1191</v>
      </c>
      <c r="G58" s="42">
        <v>1185</v>
      </c>
      <c r="H58" s="42">
        <v>1215</v>
      </c>
      <c r="I58" s="42">
        <v>1221</v>
      </c>
      <c r="J58" s="42">
        <v>1177</v>
      </c>
      <c r="K58" s="42">
        <v>1200</v>
      </c>
      <c r="L58" s="42">
        <v>1271</v>
      </c>
      <c r="M58" s="42">
        <f t="shared" si="2"/>
        <v>1208</v>
      </c>
      <c r="N58" s="42">
        <f t="shared" si="3"/>
        <v>3162303.6649214658</v>
      </c>
      <c r="O58" s="41">
        <f t="shared" ref="O58:O67" si="14">_xlfn.STDEV.P(C58:L58)</f>
        <v>27.239676943752471</v>
      </c>
      <c r="P58" s="41">
        <f t="shared" ref="P58:P67" si="15">O58/M58</f>
        <v>2.2549401443503703E-2</v>
      </c>
    </row>
    <row r="59" spans="1:16" x14ac:dyDescent="0.35">
      <c r="A59" s="42" t="s">
        <v>70</v>
      </c>
      <c r="B59" s="41"/>
      <c r="C59" s="42">
        <v>1190</v>
      </c>
      <c r="D59" s="42">
        <v>1153</v>
      </c>
      <c r="E59" s="42">
        <v>1159</v>
      </c>
      <c r="F59" s="42">
        <v>1129</v>
      </c>
      <c r="G59" s="42">
        <v>1177</v>
      </c>
      <c r="H59" s="42">
        <v>1112</v>
      </c>
      <c r="I59" s="42">
        <v>1193</v>
      </c>
      <c r="J59" s="42">
        <v>1155</v>
      </c>
      <c r="K59" s="42">
        <v>1170</v>
      </c>
      <c r="L59" s="42">
        <v>1110</v>
      </c>
      <c r="M59" s="42">
        <f t="shared" si="2"/>
        <v>1154.8</v>
      </c>
      <c r="N59" s="42">
        <f t="shared" si="3"/>
        <v>3023036.6492146594</v>
      </c>
      <c r="O59" s="41">
        <f t="shared" si="14"/>
        <v>28.191488077077448</v>
      </c>
      <c r="P59" s="41">
        <f t="shared" si="15"/>
        <v>2.4412442048040741E-2</v>
      </c>
    </row>
    <row r="60" spans="1:16" x14ac:dyDescent="0.35">
      <c r="A60" s="42" t="s">
        <v>71</v>
      </c>
      <c r="B60" s="41"/>
      <c r="C60" s="42">
        <v>1139</v>
      </c>
      <c r="D60" s="42">
        <v>1150</v>
      </c>
      <c r="E60" s="42">
        <v>1174</v>
      </c>
      <c r="F60" s="42">
        <v>1176</v>
      </c>
      <c r="G60" s="42">
        <v>1149</v>
      </c>
      <c r="H60" s="42">
        <v>1140</v>
      </c>
      <c r="I60" s="42">
        <v>1176</v>
      </c>
      <c r="J60" s="42">
        <v>1186</v>
      </c>
      <c r="K60" s="42">
        <v>1136</v>
      </c>
      <c r="L60" s="42">
        <v>1171</v>
      </c>
      <c r="M60" s="42">
        <f t="shared" si="2"/>
        <v>1159.7</v>
      </c>
      <c r="N60" s="42">
        <f t="shared" si="3"/>
        <v>3035863.8743455498</v>
      </c>
      <c r="O60" s="41">
        <f t="shared" si="14"/>
        <v>17.72596964907703</v>
      </c>
      <c r="P60" s="41">
        <f t="shared" si="15"/>
        <v>1.5284961325409182E-2</v>
      </c>
    </row>
    <row r="61" spans="1:16" x14ac:dyDescent="0.35">
      <c r="A61" s="42" t="s">
        <v>72</v>
      </c>
      <c r="B61" s="41"/>
      <c r="C61" s="42">
        <v>1146</v>
      </c>
      <c r="D61" s="42">
        <v>1167</v>
      </c>
      <c r="E61" s="42">
        <v>1144</v>
      </c>
      <c r="F61" s="42">
        <v>1129</v>
      </c>
      <c r="G61" s="42">
        <v>1146</v>
      </c>
      <c r="H61" s="42">
        <v>1119</v>
      </c>
      <c r="I61" s="42">
        <v>1147</v>
      </c>
      <c r="J61" s="42">
        <v>1166</v>
      </c>
      <c r="K61" s="42">
        <v>1149</v>
      </c>
      <c r="L61" s="42">
        <v>1132</v>
      </c>
      <c r="M61" s="42">
        <f t="shared" si="2"/>
        <v>1144.5</v>
      </c>
      <c r="N61" s="42">
        <f t="shared" si="3"/>
        <v>2996073.2984293192</v>
      </c>
      <c r="O61" s="41">
        <f t="shared" si="14"/>
        <v>14.305593311708536</v>
      </c>
      <c r="P61" s="41">
        <f t="shared" si="15"/>
        <v>1.2499426222550054E-2</v>
      </c>
    </row>
    <row r="62" spans="1:16" x14ac:dyDescent="0.35">
      <c r="A62" s="42" t="s">
        <v>73</v>
      </c>
      <c r="B62" s="41"/>
      <c r="C62" s="42">
        <v>1338</v>
      </c>
      <c r="D62" s="42">
        <v>1437</v>
      </c>
      <c r="E62" s="42">
        <v>1331</v>
      </c>
      <c r="F62" s="42">
        <v>1401</v>
      </c>
      <c r="G62" s="42">
        <v>1432</v>
      </c>
      <c r="H62" s="42">
        <v>1451</v>
      </c>
      <c r="I62" s="42">
        <v>1281</v>
      </c>
      <c r="J62" s="42">
        <v>1387</v>
      </c>
      <c r="K62" s="42">
        <v>1441</v>
      </c>
      <c r="L62" s="42">
        <v>1400</v>
      </c>
      <c r="M62" s="42">
        <f t="shared" si="2"/>
        <v>1389.9</v>
      </c>
      <c r="N62" s="42">
        <f t="shared" si="3"/>
        <v>3638481.6753926701</v>
      </c>
      <c r="O62" s="41">
        <f t="shared" si="14"/>
        <v>53.470459133992854</v>
      </c>
      <c r="P62" s="41">
        <f t="shared" si="15"/>
        <v>3.8470723889483312E-2</v>
      </c>
    </row>
    <row r="63" spans="1:16" x14ac:dyDescent="0.35">
      <c r="A63" s="42" t="s">
        <v>74</v>
      </c>
      <c r="B63" s="41"/>
      <c r="C63" s="42">
        <v>1191</v>
      </c>
      <c r="D63" s="42">
        <v>1188</v>
      </c>
      <c r="E63" s="42">
        <v>1100</v>
      </c>
      <c r="F63" s="42">
        <v>1277</v>
      </c>
      <c r="G63" s="42">
        <v>1227</v>
      </c>
      <c r="H63" s="42">
        <v>1234</v>
      </c>
      <c r="I63" s="42">
        <v>1242</v>
      </c>
      <c r="J63" s="42">
        <v>1255</v>
      </c>
      <c r="K63" s="42">
        <v>1283</v>
      </c>
      <c r="L63" s="42">
        <v>1239</v>
      </c>
      <c r="M63" s="42">
        <f t="shared" si="2"/>
        <v>1223.5999999999999</v>
      </c>
      <c r="N63" s="42">
        <f t="shared" si="3"/>
        <v>3203141.361256544</v>
      </c>
      <c r="O63" s="41">
        <f t="shared" si="14"/>
        <v>50.663991157428576</v>
      </c>
      <c r="P63" s="41">
        <f t="shared" si="15"/>
        <v>4.1405680906692201E-2</v>
      </c>
    </row>
    <row r="64" spans="1:16" x14ac:dyDescent="0.35">
      <c r="A64" s="42" t="s">
        <v>75</v>
      </c>
      <c r="B64" s="41"/>
      <c r="C64" s="42">
        <v>1241</v>
      </c>
      <c r="D64" s="42">
        <v>1103</v>
      </c>
      <c r="E64" s="42">
        <v>1230</v>
      </c>
      <c r="F64" s="42">
        <v>1241</v>
      </c>
      <c r="G64" s="42">
        <v>1153</v>
      </c>
      <c r="H64" s="42">
        <v>1086</v>
      </c>
      <c r="I64" s="42">
        <v>1196</v>
      </c>
      <c r="J64" s="42">
        <v>1261</v>
      </c>
      <c r="K64" s="42">
        <v>1284</v>
      </c>
      <c r="L64" s="42">
        <v>1289</v>
      </c>
      <c r="M64" s="42">
        <f t="shared" si="2"/>
        <v>1208.4000000000001</v>
      </c>
      <c r="N64" s="42">
        <f t="shared" si="3"/>
        <v>3163350.7853403143</v>
      </c>
      <c r="O64" s="41">
        <f t="shared" si="14"/>
        <v>68.472184133412895</v>
      </c>
      <c r="P64" s="41">
        <f t="shared" si="15"/>
        <v>5.6663508882334401E-2</v>
      </c>
    </row>
    <row r="65" spans="1:16" x14ac:dyDescent="0.35">
      <c r="A65" s="42" t="s">
        <v>76</v>
      </c>
      <c r="B65" s="41"/>
      <c r="C65" s="42">
        <v>1151</v>
      </c>
      <c r="D65" s="42">
        <v>1166</v>
      </c>
      <c r="E65" s="42">
        <v>1164</v>
      </c>
      <c r="F65" s="42">
        <v>1180</v>
      </c>
      <c r="G65" s="42">
        <v>1097</v>
      </c>
      <c r="H65" s="42">
        <v>1122</v>
      </c>
      <c r="I65" s="42">
        <v>1156</v>
      </c>
      <c r="J65" s="42">
        <v>1138</v>
      </c>
      <c r="K65" s="42">
        <v>1137</v>
      </c>
      <c r="L65" s="42">
        <v>1137</v>
      </c>
      <c r="M65" s="42">
        <f t="shared" si="2"/>
        <v>1144.8</v>
      </c>
      <c r="N65" s="42">
        <f t="shared" si="3"/>
        <v>2996858.6387434551</v>
      </c>
      <c r="O65" s="41">
        <f t="shared" si="14"/>
        <v>22.789471253190587</v>
      </c>
      <c r="P65" s="41">
        <f t="shared" si="15"/>
        <v>1.990694553912525E-2</v>
      </c>
    </row>
    <row r="66" spans="1:16" x14ac:dyDescent="0.35">
      <c r="A66" s="42" t="s">
        <v>77</v>
      </c>
      <c r="B66" s="41"/>
      <c r="C66" s="42">
        <v>1041</v>
      </c>
      <c r="D66" s="42">
        <v>1053</v>
      </c>
      <c r="E66" s="42">
        <v>1011</v>
      </c>
      <c r="F66" s="42">
        <v>1128</v>
      </c>
      <c r="G66" s="42">
        <v>1034</v>
      </c>
      <c r="H66" s="42">
        <v>1049</v>
      </c>
      <c r="I66" s="42">
        <v>1010</v>
      </c>
      <c r="J66" s="42">
        <v>1086</v>
      </c>
      <c r="K66" s="42">
        <v>1073</v>
      </c>
      <c r="L66" s="42">
        <v>1114</v>
      </c>
      <c r="M66" s="42">
        <f t="shared" si="2"/>
        <v>1059.9000000000001</v>
      </c>
      <c r="N66" s="42">
        <f t="shared" si="3"/>
        <v>2774607.3298429321</v>
      </c>
      <c r="O66" s="41">
        <f t="shared" si="14"/>
        <v>38.069541631072994</v>
      </c>
      <c r="P66" s="41">
        <f t="shared" si="15"/>
        <v>3.5918050411428426E-2</v>
      </c>
    </row>
    <row r="67" spans="1:16" x14ac:dyDescent="0.35">
      <c r="A67" s="42" t="s">
        <v>78</v>
      </c>
      <c r="B67" s="41"/>
      <c r="C67" s="42">
        <f>1495</f>
        <v>1495</v>
      </c>
      <c r="D67" s="42">
        <v>1731</v>
      </c>
      <c r="E67" s="42">
        <v>1609</v>
      </c>
      <c r="F67" s="42">
        <v>1652</v>
      </c>
      <c r="G67" s="42">
        <v>1829</v>
      </c>
      <c r="H67" s="42">
        <v>1490</v>
      </c>
      <c r="I67" s="42">
        <v>2223</v>
      </c>
      <c r="J67" s="42">
        <v>1932</v>
      </c>
      <c r="K67" s="42">
        <v>1360</v>
      </c>
      <c r="L67" s="42">
        <v>1588</v>
      </c>
      <c r="M67" s="42">
        <f t="shared" si="2"/>
        <v>1690.9</v>
      </c>
      <c r="N67" s="42">
        <f t="shared" si="3"/>
        <v>4426439.7905759159</v>
      </c>
      <c r="O67" s="41">
        <f t="shared" si="14"/>
        <v>238.53320523566524</v>
      </c>
      <c r="P67" s="41">
        <f t="shared" si="15"/>
        <v>0.14106878303605488</v>
      </c>
    </row>
    <row r="68" spans="1:16" x14ac:dyDescent="0.35">
      <c r="A68" s="44" t="s">
        <v>79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6"/>
      <c r="P68" s="46"/>
    </row>
    <row r="69" spans="1:16" x14ac:dyDescent="0.35">
      <c r="A69" s="42" t="s">
        <v>80</v>
      </c>
      <c r="B69" s="41"/>
      <c r="C69" s="42">
        <v>1281</v>
      </c>
      <c r="D69" s="42">
        <v>1310</v>
      </c>
      <c r="E69" s="42">
        <v>1269</v>
      </c>
      <c r="F69" s="42">
        <v>1264</v>
      </c>
      <c r="G69" s="42">
        <v>1239</v>
      </c>
      <c r="H69" s="42">
        <v>1202</v>
      </c>
      <c r="I69" s="42">
        <v>1233</v>
      </c>
      <c r="J69" s="42">
        <v>1218</v>
      </c>
      <c r="K69" s="42">
        <v>1252</v>
      </c>
      <c r="L69" s="42">
        <v>1000</v>
      </c>
      <c r="M69" s="42">
        <f t="shared" ref="M69:M89" si="16">AVERAGE(C69:L69)</f>
        <v>1226.8</v>
      </c>
      <c r="N69" s="42">
        <f t="shared" ref="N69:N89" si="17">(M69/0.000382)*1</f>
        <v>3211518.3246073294</v>
      </c>
      <c r="O69" s="41">
        <f t="shared" ref="O69:O78" si="18">_xlfn.STDEV.P(C69:L69)</f>
        <v>81.226596629429196</v>
      </c>
      <c r="P69" s="41">
        <f t="shared" ref="P69:P78" si="19">O69/M69</f>
        <v>6.6210137454702639E-2</v>
      </c>
    </row>
    <row r="70" spans="1:16" x14ac:dyDescent="0.35">
      <c r="A70" s="42" t="s">
        <v>81</v>
      </c>
      <c r="B70" s="41"/>
      <c r="C70" s="42">
        <v>1368</v>
      </c>
      <c r="D70" s="42">
        <v>1239</v>
      </c>
      <c r="E70" s="42">
        <v>1334</v>
      </c>
      <c r="F70" s="42">
        <v>1232</v>
      </c>
      <c r="G70" s="42">
        <v>1270</v>
      </c>
      <c r="H70" s="42">
        <v>1245</v>
      </c>
      <c r="I70" s="42">
        <v>1211</v>
      </c>
      <c r="J70" s="42">
        <v>1254</v>
      </c>
      <c r="K70" s="42">
        <v>1166</v>
      </c>
      <c r="L70" s="42">
        <v>1223</v>
      </c>
      <c r="M70" s="42">
        <f t="shared" si="16"/>
        <v>1254.2</v>
      </c>
      <c r="N70" s="42">
        <f t="shared" si="17"/>
        <v>3283246.0732984291</v>
      </c>
      <c r="O70" s="41">
        <f t="shared" si="18"/>
        <v>55.673692171437672</v>
      </c>
      <c r="P70" s="41">
        <f t="shared" si="19"/>
        <v>4.4389803995724501E-2</v>
      </c>
    </row>
    <row r="71" spans="1:16" x14ac:dyDescent="0.35">
      <c r="A71" s="42" t="s">
        <v>125</v>
      </c>
      <c r="B71" s="41"/>
      <c r="C71" s="42">
        <v>1329</v>
      </c>
      <c r="D71" s="42">
        <v>1279</v>
      </c>
      <c r="E71" s="42">
        <v>1271</v>
      </c>
      <c r="F71" s="42">
        <v>1273</v>
      </c>
      <c r="G71" s="42">
        <v>1267</v>
      </c>
      <c r="H71" s="42">
        <v>1261</v>
      </c>
      <c r="I71" s="42">
        <v>1274</v>
      </c>
      <c r="J71" s="42">
        <v>1280</v>
      </c>
      <c r="K71" s="42">
        <v>1278</v>
      </c>
      <c r="L71" s="42">
        <v>1275</v>
      </c>
      <c r="M71" s="42">
        <f t="shared" si="16"/>
        <v>1278.7</v>
      </c>
      <c r="N71" s="42">
        <f t="shared" si="17"/>
        <v>3347382.1989528798</v>
      </c>
      <c r="O71" s="41">
        <f t="shared" si="18"/>
        <v>17.63547561025787</v>
      </c>
      <c r="P71" s="41">
        <f t="shared" si="19"/>
        <v>1.3791722538717346E-2</v>
      </c>
    </row>
    <row r="72" spans="1:16" x14ac:dyDescent="0.35">
      <c r="A72" s="42" t="s">
        <v>82</v>
      </c>
      <c r="B72" s="41"/>
      <c r="C72" s="42">
        <v>1311</v>
      </c>
      <c r="D72" s="42">
        <v>1237</v>
      </c>
      <c r="E72" s="42">
        <v>1308</v>
      </c>
      <c r="F72" s="42">
        <v>1259</v>
      </c>
      <c r="G72" s="42">
        <v>1308</v>
      </c>
      <c r="H72" s="42">
        <v>1302</v>
      </c>
      <c r="I72" s="42">
        <v>1305</v>
      </c>
      <c r="J72" s="42">
        <v>1299</v>
      </c>
      <c r="K72" s="42">
        <v>1316</v>
      </c>
      <c r="L72" s="42">
        <v>1000</v>
      </c>
      <c r="M72" s="42">
        <f t="shared" si="16"/>
        <v>1264.5</v>
      </c>
      <c r="N72" s="42">
        <f t="shared" si="17"/>
        <v>3310209.4240837693</v>
      </c>
      <c r="O72" s="41">
        <f t="shared" si="18"/>
        <v>91.42346525919919</v>
      </c>
      <c r="P72" s="41">
        <f t="shared" si="19"/>
        <v>7.2300091150019133E-2</v>
      </c>
    </row>
    <row r="73" spans="1:16" x14ac:dyDescent="0.35">
      <c r="A73" s="42" t="s">
        <v>83</v>
      </c>
      <c r="B73" s="41"/>
      <c r="C73" s="42">
        <v>1290</v>
      </c>
      <c r="D73" s="42">
        <v>1342</v>
      </c>
      <c r="E73" s="42">
        <v>1278</v>
      </c>
      <c r="F73" s="42">
        <v>1209</v>
      </c>
      <c r="G73" s="42">
        <v>1241</v>
      </c>
      <c r="H73" s="42">
        <v>1243</v>
      </c>
      <c r="I73" s="42">
        <v>1309</v>
      </c>
      <c r="J73" s="42">
        <v>1346</v>
      </c>
      <c r="K73" s="42">
        <v>1358</v>
      </c>
      <c r="L73" s="42">
        <v>1370</v>
      </c>
      <c r="M73" s="42">
        <f t="shared" si="16"/>
        <v>1298.5999999999999</v>
      </c>
      <c r="N73" s="42">
        <f t="shared" si="17"/>
        <v>3399476.4397905758</v>
      </c>
      <c r="O73" s="41">
        <f t="shared" si="18"/>
        <v>52.726084626112723</v>
      </c>
      <c r="P73" s="41">
        <f t="shared" si="19"/>
        <v>4.0602252137773548E-2</v>
      </c>
    </row>
    <row r="74" spans="1:16" x14ac:dyDescent="0.35">
      <c r="A74" s="42" t="s">
        <v>84</v>
      </c>
      <c r="B74" s="41"/>
      <c r="C74" s="42">
        <v>1269</v>
      </c>
      <c r="D74" s="42">
        <v>1205</v>
      </c>
      <c r="E74" s="42">
        <v>1227</v>
      </c>
      <c r="F74" s="42">
        <v>1211</v>
      </c>
      <c r="G74" s="42">
        <v>1260</v>
      </c>
      <c r="H74" s="42">
        <v>1199</v>
      </c>
      <c r="I74" s="42">
        <v>1216</v>
      </c>
      <c r="J74" s="42">
        <v>1221</v>
      </c>
      <c r="K74" s="42">
        <v>1100</v>
      </c>
      <c r="L74" s="42">
        <v>1226</v>
      </c>
      <c r="M74" s="42">
        <f t="shared" si="16"/>
        <v>1213.4000000000001</v>
      </c>
      <c r="N74" s="42">
        <f t="shared" si="17"/>
        <v>3176439.7905759164</v>
      </c>
      <c r="O74" s="41">
        <f t="shared" si="18"/>
        <v>43.375569160530908</v>
      </c>
      <c r="P74" s="41">
        <f t="shared" si="19"/>
        <v>3.5747131333880751E-2</v>
      </c>
    </row>
    <row r="75" spans="1:16" x14ac:dyDescent="0.35">
      <c r="A75" s="42" t="s">
        <v>85</v>
      </c>
      <c r="B75" s="41"/>
      <c r="C75" s="42">
        <v>1357</v>
      </c>
      <c r="D75" s="42">
        <v>1395</v>
      </c>
      <c r="E75" s="42">
        <v>1454</v>
      </c>
      <c r="F75" s="42">
        <v>1276</v>
      </c>
      <c r="G75" s="42">
        <v>1504</v>
      </c>
      <c r="H75" s="42">
        <v>1457</v>
      </c>
      <c r="I75" s="42">
        <v>1251</v>
      </c>
      <c r="J75" s="42">
        <v>1365</v>
      </c>
      <c r="K75" s="42">
        <v>1447</v>
      </c>
      <c r="L75" s="42">
        <v>1385</v>
      </c>
      <c r="M75" s="42">
        <f t="shared" si="16"/>
        <v>1389.1</v>
      </c>
      <c r="N75" s="42">
        <f t="shared" si="17"/>
        <v>3636387.4345549736</v>
      </c>
      <c r="O75" s="41">
        <f t="shared" si="18"/>
        <v>76.748224735168961</v>
      </c>
      <c r="P75" s="41">
        <f t="shared" si="19"/>
        <v>5.5250323760110118E-2</v>
      </c>
    </row>
    <row r="76" spans="1:16" x14ac:dyDescent="0.35">
      <c r="A76" s="42" t="s">
        <v>86</v>
      </c>
      <c r="B76" s="41"/>
      <c r="C76" s="42">
        <v>1336</v>
      </c>
      <c r="D76" s="42">
        <v>1474</v>
      </c>
      <c r="E76" s="42">
        <v>1611</v>
      </c>
      <c r="F76" s="42">
        <v>1406</v>
      </c>
      <c r="G76" s="42">
        <v>1456</v>
      </c>
      <c r="H76" s="42">
        <v>1385</v>
      </c>
      <c r="I76" s="42">
        <v>1545</v>
      </c>
      <c r="J76" s="42">
        <v>1558</v>
      </c>
      <c r="K76" s="42">
        <v>1524</v>
      </c>
      <c r="L76" s="42">
        <v>1479</v>
      </c>
      <c r="M76" s="42">
        <f t="shared" si="16"/>
        <v>1477.4</v>
      </c>
      <c r="N76" s="42">
        <f t="shared" si="17"/>
        <v>3867539.2670157067</v>
      </c>
      <c r="O76" s="41">
        <f t="shared" si="18"/>
        <v>80.739333660861973</v>
      </c>
      <c r="P76" s="41">
        <f t="shared" si="19"/>
        <v>5.4649609896346263E-2</v>
      </c>
    </row>
    <row r="77" spans="1:16" x14ac:dyDescent="0.35">
      <c r="A77" s="42" t="s">
        <v>87</v>
      </c>
      <c r="B77" s="41"/>
      <c r="C77" s="42">
        <v>1488</v>
      </c>
      <c r="D77" s="42">
        <v>1570</v>
      </c>
      <c r="E77" s="42">
        <v>1613</v>
      </c>
      <c r="F77" s="42">
        <v>1762</v>
      </c>
      <c r="G77" s="42">
        <v>1661</v>
      </c>
      <c r="H77" s="42">
        <v>1489</v>
      </c>
      <c r="I77" s="42">
        <v>1629</v>
      </c>
      <c r="J77" s="42">
        <v>1513</v>
      </c>
      <c r="K77" s="42">
        <v>1742</v>
      </c>
      <c r="L77" s="42">
        <v>1497</v>
      </c>
      <c r="M77" s="42">
        <f t="shared" si="16"/>
        <v>1596.4</v>
      </c>
      <c r="N77" s="42">
        <f t="shared" si="17"/>
        <v>4179057.5916230367</v>
      </c>
      <c r="O77" s="41">
        <f t="shared" si="18"/>
        <v>97.443522103832024</v>
      </c>
      <c r="P77" s="41">
        <f t="shared" si="19"/>
        <v>6.1039540280526196E-2</v>
      </c>
    </row>
    <row r="78" spans="1:16" x14ac:dyDescent="0.35">
      <c r="A78" s="42" t="s">
        <v>88</v>
      </c>
      <c r="B78" s="41"/>
      <c r="C78" s="42">
        <v>1551</v>
      </c>
      <c r="D78" s="42">
        <v>1693</v>
      </c>
      <c r="E78" s="42">
        <v>1561</v>
      </c>
      <c r="F78" s="42">
        <v>1436</v>
      </c>
      <c r="G78" s="42">
        <v>1602</v>
      </c>
      <c r="H78" s="42">
        <v>1675</v>
      </c>
      <c r="I78" s="42">
        <v>1840</v>
      </c>
      <c r="J78" s="42">
        <v>1580</v>
      </c>
      <c r="K78" s="42">
        <v>1504</v>
      </c>
      <c r="L78" s="42">
        <v>1623</v>
      </c>
      <c r="M78" s="42">
        <f t="shared" si="16"/>
        <v>1606.5</v>
      </c>
      <c r="N78" s="42">
        <f t="shared" si="17"/>
        <v>4205497.3821989531</v>
      </c>
      <c r="O78" s="41">
        <f t="shared" si="18"/>
        <v>106.02759074882349</v>
      </c>
      <c r="P78" s="41">
        <f t="shared" si="19"/>
        <v>6.5999122781713965E-2</v>
      </c>
    </row>
    <row r="79" spans="1:16" x14ac:dyDescent="0.35">
      <c r="A79" s="44" t="s">
        <v>89</v>
      </c>
      <c r="B79" s="46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6"/>
      <c r="P79" s="46"/>
    </row>
    <row r="80" spans="1:16" x14ac:dyDescent="0.35">
      <c r="A80" s="42" t="s">
        <v>90</v>
      </c>
      <c r="B80" s="41"/>
      <c r="C80" s="42">
        <v>1289</v>
      </c>
      <c r="D80" s="42">
        <v>1309</v>
      </c>
      <c r="E80" s="42">
        <v>1303</v>
      </c>
      <c r="F80" s="42">
        <v>1345</v>
      </c>
      <c r="G80" s="42">
        <v>1397</v>
      </c>
      <c r="H80" s="42">
        <v>1353</v>
      </c>
      <c r="I80" s="42">
        <v>1338</v>
      </c>
      <c r="J80" s="42">
        <v>1291</v>
      </c>
      <c r="K80" s="42">
        <v>1303</v>
      </c>
      <c r="L80" s="42">
        <v>1349</v>
      </c>
      <c r="M80" s="42">
        <f t="shared" si="16"/>
        <v>1327.7</v>
      </c>
      <c r="N80" s="42">
        <f t="shared" si="17"/>
        <v>3475654.4502617801</v>
      </c>
      <c r="O80" s="41">
        <f t="shared" ref="O80:O89" si="20">_xlfn.STDEV.P(C80:L80)</f>
        <v>32.735454785293577</v>
      </c>
      <c r="P80" s="41">
        <f t="shared" ref="P80:P89" si="21">O80/M80</f>
        <v>2.4655761682076956E-2</v>
      </c>
    </row>
    <row r="81" spans="1:16" x14ac:dyDescent="0.35">
      <c r="A81" s="42" t="s">
        <v>91</v>
      </c>
      <c r="B81" s="41"/>
      <c r="C81" s="42">
        <v>1270</v>
      </c>
      <c r="D81" s="42">
        <v>1275</v>
      </c>
      <c r="E81" s="42">
        <v>1278</v>
      </c>
      <c r="F81" s="42">
        <v>1277</v>
      </c>
      <c r="G81" s="42">
        <v>1276</v>
      </c>
      <c r="H81" s="42">
        <v>1300</v>
      </c>
      <c r="I81" s="42">
        <v>1284</v>
      </c>
      <c r="J81" s="42">
        <v>1257</v>
      </c>
      <c r="K81" s="42">
        <v>1298</v>
      </c>
      <c r="L81" s="42">
        <v>1270</v>
      </c>
      <c r="M81" s="42">
        <f t="shared" si="16"/>
        <v>1278.5</v>
      </c>
      <c r="N81" s="42">
        <f t="shared" si="17"/>
        <v>3346858.6387434555</v>
      </c>
      <c r="O81" s="41">
        <f t="shared" si="20"/>
        <v>12.2494897852931</v>
      </c>
      <c r="P81" s="41">
        <f t="shared" si="21"/>
        <v>9.5811417953016037E-3</v>
      </c>
    </row>
    <row r="82" spans="1:16" x14ac:dyDescent="0.35">
      <c r="A82" s="42" t="s">
        <v>92</v>
      </c>
      <c r="B82" s="41"/>
      <c r="C82" s="42">
        <v>1312</v>
      </c>
      <c r="D82" s="42">
        <v>1318</v>
      </c>
      <c r="E82" s="42">
        <v>1310</v>
      </c>
      <c r="F82" s="42">
        <v>1327</v>
      </c>
      <c r="G82" s="42">
        <v>1324</v>
      </c>
      <c r="H82" s="42">
        <v>1321</v>
      </c>
      <c r="I82" s="42">
        <v>1324</v>
      </c>
      <c r="J82" s="42">
        <v>1352</v>
      </c>
      <c r="K82" s="42">
        <v>1324</v>
      </c>
      <c r="L82" s="42">
        <v>1346</v>
      </c>
      <c r="M82" s="42">
        <f t="shared" si="16"/>
        <v>1325.8</v>
      </c>
      <c r="N82" s="42">
        <f t="shared" si="17"/>
        <v>3470680.6282722512</v>
      </c>
      <c r="O82" s="41">
        <f t="shared" si="20"/>
        <v>12.765578717786358</v>
      </c>
      <c r="P82" s="41">
        <f t="shared" si="21"/>
        <v>9.6285855466785031E-3</v>
      </c>
    </row>
    <row r="83" spans="1:16" x14ac:dyDescent="0.35">
      <c r="A83" s="42" t="s">
        <v>93</v>
      </c>
      <c r="B83" s="41"/>
      <c r="C83" s="42">
        <v>1285</v>
      </c>
      <c r="D83" s="42">
        <v>1280</v>
      </c>
      <c r="E83" s="42">
        <v>1298</v>
      </c>
      <c r="F83" s="42">
        <v>1282</v>
      </c>
      <c r="G83" s="42">
        <v>1292</v>
      </c>
      <c r="H83" s="42">
        <v>1295</v>
      </c>
      <c r="I83" s="42">
        <v>1277</v>
      </c>
      <c r="J83" s="42">
        <v>1279</v>
      </c>
      <c r="K83" s="42">
        <v>1280</v>
      </c>
      <c r="L83" s="42">
        <v>1279</v>
      </c>
      <c r="M83" s="42">
        <f t="shared" si="16"/>
        <v>1284.7</v>
      </c>
      <c r="N83" s="42">
        <f t="shared" si="17"/>
        <v>3363089.0052356021</v>
      </c>
      <c r="O83" s="41">
        <f t="shared" si="20"/>
        <v>7.156116265125938</v>
      </c>
      <c r="P83" s="41">
        <f t="shared" si="21"/>
        <v>5.5702625244227737E-3</v>
      </c>
    </row>
    <row r="84" spans="1:16" x14ac:dyDescent="0.35">
      <c r="A84" s="42" t="s">
        <v>94</v>
      </c>
      <c r="B84" s="41"/>
      <c r="C84" s="42">
        <v>1221</v>
      </c>
      <c r="D84" s="42">
        <v>1317</v>
      </c>
      <c r="E84" s="42">
        <v>1435</v>
      </c>
      <c r="F84" s="42">
        <v>1438</v>
      </c>
      <c r="G84" s="42">
        <v>1293</v>
      </c>
      <c r="H84" s="42">
        <v>1274</v>
      </c>
      <c r="I84" s="42">
        <v>1401</v>
      </c>
      <c r="J84" s="42">
        <v>1423</v>
      </c>
      <c r="K84" s="42">
        <v>1288</v>
      </c>
      <c r="L84" s="42">
        <v>1404</v>
      </c>
      <c r="M84" s="42">
        <f t="shared" si="16"/>
        <v>1349.4</v>
      </c>
      <c r="N84" s="42">
        <f t="shared" si="17"/>
        <v>3532460.7329842933</v>
      </c>
      <c r="O84" s="41">
        <f t="shared" si="20"/>
        <v>75.106857210244115</v>
      </c>
      <c r="P84" s="41">
        <f t="shared" si="21"/>
        <v>5.5659446576437017E-2</v>
      </c>
    </row>
    <row r="85" spans="1:16" x14ac:dyDescent="0.35">
      <c r="A85" s="42" t="s">
        <v>95</v>
      </c>
      <c r="B85" s="41"/>
      <c r="C85" s="42">
        <v>1659</v>
      </c>
      <c r="D85" s="42">
        <v>1830</v>
      </c>
      <c r="E85" s="42">
        <v>1600</v>
      </c>
      <c r="F85" s="42">
        <v>1709</v>
      </c>
      <c r="G85" s="42">
        <v>1699</v>
      </c>
      <c r="H85" s="42">
        <v>1461</v>
      </c>
      <c r="I85" s="42">
        <v>1585</v>
      </c>
      <c r="J85" s="42">
        <v>1736</v>
      </c>
      <c r="K85" s="42">
        <v>1650</v>
      </c>
      <c r="L85" s="42">
        <v>1799</v>
      </c>
      <c r="M85" s="42">
        <f t="shared" si="16"/>
        <v>1672.8</v>
      </c>
      <c r="N85" s="42">
        <f t="shared" si="17"/>
        <v>4379057.5916230362</v>
      </c>
      <c r="O85" s="41">
        <f t="shared" si="20"/>
        <v>102.57075606623947</v>
      </c>
      <c r="P85" s="41">
        <f t="shared" si="21"/>
        <v>6.1316807787087202E-2</v>
      </c>
    </row>
    <row r="86" spans="1:16" x14ac:dyDescent="0.35">
      <c r="A86" s="42" t="s">
        <v>96</v>
      </c>
      <c r="B86" s="41"/>
      <c r="C86" s="42">
        <v>1471</v>
      </c>
      <c r="D86" s="42">
        <v>1235</v>
      </c>
      <c r="E86" s="42">
        <v>1439</v>
      </c>
      <c r="F86" s="42">
        <v>1532</v>
      </c>
      <c r="G86" s="42">
        <v>1285</v>
      </c>
      <c r="H86" s="42">
        <v>1557</v>
      </c>
      <c r="I86" s="42">
        <v>1274</v>
      </c>
      <c r="J86" s="42">
        <v>1497</v>
      </c>
      <c r="K86" s="42">
        <v>1513</v>
      </c>
      <c r="L86" s="42">
        <v>1000</v>
      </c>
      <c r="M86" s="42">
        <f t="shared" si="16"/>
        <v>1380.3</v>
      </c>
      <c r="N86" s="42">
        <f t="shared" si="17"/>
        <v>3613350.7853403138</v>
      </c>
      <c r="O86" s="41">
        <f t="shared" si="20"/>
        <v>168.3027331923044</v>
      </c>
      <c r="P86" s="41">
        <f t="shared" si="21"/>
        <v>0.12193199535775151</v>
      </c>
    </row>
    <row r="87" spans="1:16" x14ac:dyDescent="0.35">
      <c r="A87" s="42" t="s">
        <v>97</v>
      </c>
      <c r="B87" s="41"/>
      <c r="C87" s="42">
        <v>1548</v>
      </c>
      <c r="D87" s="42">
        <v>1435</v>
      </c>
      <c r="E87" s="42">
        <v>1453</v>
      </c>
      <c r="F87" s="42">
        <v>1366</v>
      </c>
      <c r="G87" s="42">
        <v>1544</v>
      </c>
      <c r="H87" s="42">
        <v>1350</v>
      </c>
      <c r="I87" s="42">
        <v>1478</v>
      </c>
      <c r="J87" s="42">
        <v>1439</v>
      </c>
      <c r="K87" s="42">
        <v>1485</v>
      </c>
      <c r="L87" s="42">
        <v>1502</v>
      </c>
      <c r="M87" s="42">
        <f t="shared" si="16"/>
        <v>1460</v>
      </c>
      <c r="N87" s="42">
        <f t="shared" si="17"/>
        <v>3821989.5287958113</v>
      </c>
      <c r="O87" s="41">
        <f t="shared" si="20"/>
        <v>62.89992050869381</v>
      </c>
      <c r="P87" s="41">
        <f t="shared" si="21"/>
        <v>4.3082137334721785E-2</v>
      </c>
    </row>
    <row r="88" spans="1:16" x14ac:dyDescent="0.35">
      <c r="A88" s="42" t="s">
        <v>98</v>
      </c>
      <c r="B88" s="41"/>
      <c r="C88" s="42">
        <v>1323</v>
      </c>
      <c r="D88" s="42">
        <v>1110</v>
      </c>
      <c r="E88" s="42">
        <v>1150</v>
      </c>
      <c r="F88" s="42">
        <v>1381</v>
      </c>
      <c r="G88" s="42">
        <v>1378</v>
      </c>
      <c r="H88" s="42">
        <v>1320</v>
      </c>
      <c r="I88" s="42">
        <v>1421</v>
      </c>
      <c r="J88" s="42">
        <v>1187</v>
      </c>
      <c r="K88" s="42">
        <v>1402</v>
      </c>
      <c r="L88" s="42">
        <v>1357</v>
      </c>
      <c r="M88" s="42">
        <f t="shared" si="16"/>
        <v>1302.9000000000001</v>
      </c>
      <c r="N88" s="42">
        <f t="shared" si="17"/>
        <v>3410732.984293194</v>
      </c>
      <c r="O88" s="41">
        <f t="shared" si="20"/>
        <v>106.37335192612856</v>
      </c>
      <c r="P88" s="41">
        <f t="shared" si="21"/>
        <v>8.1643527458844539E-2</v>
      </c>
    </row>
    <row r="89" spans="1:16" x14ac:dyDescent="0.35">
      <c r="A89" s="42" t="s">
        <v>99</v>
      </c>
      <c r="B89" s="41"/>
      <c r="C89" s="42">
        <v>1181</v>
      </c>
      <c r="D89" s="42">
        <v>1372</v>
      </c>
      <c r="E89" s="42">
        <v>1388</v>
      </c>
      <c r="F89" s="42">
        <v>1328</v>
      </c>
      <c r="G89" s="42">
        <v>1316</v>
      </c>
      <c r="H89" s="42">
        <v>1144</v>
      </c>
      <c r="I89" s="42">
        <v>1172</v>
      </c>
      <c r="J89" s="42">
        <v>1397</v>
      </c>
      <c r="K89" s="42">
        <v>1148</v>
      </c>
      <c r="L89" s="42">
        <v>1300</v>
      </c>
      <c r="M89" s="42">
        <f t="shared" si="16"/>
        <v>1274.5999999999999</v>
      </c>
      <c r="N89" s="42">
        <f t="shared" si="17"/>
        <v>3336649.2146596853</v>
      </c>
      <c r="O89" s="41">
        <f t="shared" si="20"/>
        <v>97.421968775015017</v>
      </c>
      <c r="P89" s="41">
        <f t="shared" si="21"/>
        <v>7.6433366369853303E-2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CFBA-7D3A-4E45-A4FC-6517F1B411AD}">
  <dimension ref="A1:P89"/>
  <sheetViews>
    <sheetView topLeftCell="A56" zoomScale="72" workbookViewId="0">
      <selection activeCell="G87" sqref="G87"/>
    </sheetView>
  </sheetViews>
  <sheetFormatPr defaultRowHeight="14.5" x14ac:dyDescent="0.35"/>
  <sheetData>
    <row r="1" spans="1:16" ht="48" x14ac:dyDescent="0.35">
      <c r="A1" s="61" t="s">
        <v>0</v>
      </c>
      <c r="B1" s="62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4" t="s">
        <v>15</v>
      </c>
    </row>
    <row r="2" spans="1:16" ht="16" x14ac:dyDescent="0.4">
      <c r="A2" s="65" t="s">
        <v>16</v>
      </c>
      <c r="B2" s="66"/>
      <c r="C2" s="67"/>
      <c r="D2" s="68"/>
      <c r="E2" s="68"/>
      <c r="F2" s="68"/>
      <c r="G2" s="68"/>
      <c r="H2" s="69"/>
      <c r="I2" s="69"/>
      <c r="J2" s="69"/>
      <c r="K2" s="69"/>
      <c r="L2" s="69"/>
      <c r="M2" s="69"/>
      <c r="N2" s="69"/>
      <c r="O2" s="68"/>
      <c r="P2" s="68"/>
    </row>
    <row r="3" spans="1:16" ht="16" x14ac:dyDescent="0.4">
      <c r="A3" t="s">
        <v>126</v>
      </c>
      <c r="B3" s="77"/>
      <c r="C3" s="78">
        <v>1793</v>
      </c>
      <c r="D3" s="78">
        <v>2049</v>
      </c>
      <c r="E3" s="78">
        <v>1884</v>
      </c>
      <c r="F3" s="78">
        <v>2179</v>
      </c>
      <c r="G3" s="78">
        <v>2380</v>
      </c>
      <c r="H3" s="78"/>
      <c r="I3" s="78">
        <v>2020</v>
      </c>
      <c r="J3" s="78">
        <v>2031</v>
      </c>
      <c r="K3" s="78">
        <v>1772</v>
      </c>
      <c r="L3" s="78">
        <v>1923</v>
      </c>
      <c r="M3" s="78">
        <f>AVERAGE(C3:L3)</f>
        <v>2003.4444444444443</v>
      </c>
      <c r="N3" s="78">
        <f>(M3/0.000382)*1</f>
        <v>5244618.9645142518</v>
      </c>
      <c r="O3" s="79">
        <f t="shared" ref="O3:O12" si="0">_xlfn.STDEV.P(C3:L3)</f>
        <v>180.83578254016427</v>
      </c>
      <c r="P3" s="80">
        <f t="shared" ref="P3:P12" si="1">O3/M3</f>
        <v>9.0262439291302676E-2</v>
      </c>
    </row>
    <row r="4" spans="1:16" ht="16" x14ac:dyDescent="0.4">
      <c r="A4" t="s">
        <v>17</v>
      </c>
      <c r="B4" s="70"/>
      <c r="C4" s="71">
        <v>1851</v>
      </c>
      <c r="D4" s="71">
        <v>1947</v>
      </c>
      <c r="E4" s="71">
        <v>2134</v>
      </c>
      <c r="F4" s="71">
        <v>2173</v>
      </c>
      <c r="G4" s="71">
        <v>1973</v>
      </c>
      <c r="H4" s="71">
        <v>2026</v>
      </c>
      <c r="I4" s="71">
        <v>2065</v>
      </c>
      <c r="J4" s="71">
        <v>2035</v>
      </c>
      <c r="K4" s="71">
        <v>2174</v>
      </c>
      <c r="L4" s="71">
        <v>2071</v>
      </c>
      <c r="M4" s="71">
        <f t="shared" ref="M4:M67" si="2">AVERAGE(C4:L4)</f>
        <v>2044.9</v>
      </c>
      <c r="N4" s="71">
        <f t="shared" ref="N4:N67" si="3">(M4/0.000382)*1</f>
        <v>5353141.3612565445</v>
      </c>
      <c r="O4" s="72">
        <f t="shared" si="0"/>
        <v>97.420172449036443</v>
      </c>
      <c r="P4" s="81">
        <f t="shared" si="1"/>
        <v>4.7640555747976154E-2</v>
      </c>
    </row>
    <row r="5" spans="1:16" ht="16" x14ac:dyDescent="0.4">
      <c r="A5" t="s">
        <v>18</v>
      </c>
      <c r="B5" s="70"/>
      <c r="C5" s="71">
        <v>1829</v>
      </c>
      <c r="D5" s="71">
        <v>1537</v>
      </c>
      <c r="E5" s="71">
        <v>1991</v>
      </c>
      <c r="F5" s="71">
        <v>1678</v>
      </c>
      <c r="G5" s="71">
        <v>1844</v>
      </c>
      <c r="H5" s="71">
        <v>1739</v>
      </c>
      <c r="I5" s="71">
        <v>1822</v>
      </c>
      <c r="J5" s="71">
        <v>1661</v>
      </c>
      <c r="K5" s="71">
        <v>1492</v>
      </c>
      <c r="L5" s="71">
        <v>1467</v>
      </c>
      <c r="M5" s="71">
        <f t="shared" si="2"/>
        <v>1706</v>
      </c>
      <c r="N5" s="71">
        <f t="shared" si="3"/>
        <v>4465968.586387434</v>
      </c>
      <c r="O5" s="72">
        <f t="shared" si="0"/>
        <v>162.55153029116644</v>
      </c>
      <c r="P5" s="81">
        <f t="shared" si="1"/>
        <v>9.5282256911586427E-2</v>
      </c>
    </row>
    <row r="6" spans="1:16" ht="16" x14ac:dyDescent="0.4">
      <c r="A6" t="s">
        <v>127</v>
      </c>
      <c r="B6" s="70"/>
      <c r="C6" s="71">
        <v>1822</v>
      </c>
      <c r="D6" s="71">
        <v>1718</v>
      </c>
      <c r="E6" s="71">
        <v>2021</v>
      </c>
      <c r="F6" s="71">
        <v>1955</v>
      </c>
      <c r="G6" s="71">
        <v>1691</v>
      </c>
      <c r="H6" s="71">
        <v>1735</v>
      </c>
      <c r="I6" s="71">
        <v>1714</v>
      </c>
      <c r="J6" s="71">
        <v>1665</v>
      </c>
      <c r="K6" s="71">
        <v>1764</v>
      </c>
      <c r="L6" s="71">
        <v>1728</v>
      </c>
      <c r="M6" s="71">
        <f t="shared" si="2"/>
        <v>1781.3</v>
      </c>
      <c r="N6" s="71">
        <f t="shared" si="3"/>
        <v>4663089.0052356021</v>
      </c>
      <c r="O6" s="72">
        <f t="shared" si="0"/>
        <v>111.7068037319124</v>
      </c>
      <c r="P6" s="81">
        <f t="shared" si="1"/>
        <v>6.2710831264757433E-2</v>
      </c>
    </row>
    <row r="7" spans="1:16" ht="16" x14ac:dyDescent="0.4">
      <c r="A7" t="s">
        <v>128</v>
      </c>
      <c r="B7" s="70"/>
      <c r="C7" s="71">
        <v>2127</v>
      </c>
      <c r="D7" s="71">
        <v>1885</v>
      </c>
      <c r="E7" s="71">
        <v>2108</v>
      </c>
      <c r="F7" s="71">
        <v>2123</v>
      </c>
      <c r="G7" s="71">
        <v>2206</v>
      </c>
      <c r="H7" s="71">
        <v>2173</v>
      </c>
      <c r="I7" s="71">
        <v>2458</v>
      </c>
      <c r="J7" s="71">
        <v>2148</v>
      </c>
      <c r="K7" s="71">
        <v>2339</v>
      </c>
      <c r="L7" s="71">
        <v>2371</v>
      </c>
      <c r="M7" s="71">
        <f t="shared" si="2"/>
        <v>2193.8000000000002</v>
      </c>
      <c r="N7" s="71">
        <f t="shared" si="3"/>
        <v>5742931.9371727752</v>
      </c>
      <c r="O7" s="72">
        <f t="shared" si="0"/>
        <v>153.99922077724941</v>
      </c>
      <c r="P7" s="81">
        <f t="shared" si="1"/>
        <v>7.0197475055724948E-2</v>
      </c>
    </row>
    <row r="8" spans="1:16" ht="16" x14ac:dyDescent="0.4">
      <c r="A8" t="s">
        <v>19</v>
      </c>
      <c r="B8" s="73"/>
      <c r="C8" s="71">
        <v>1444</v>
      </c>
      <c r="D8" s="71">
        <v>1548</v>
      </c>
      <c r="E8" s="71">
        <v>1522</v>
      </c>
      <c r="F8" s="71">
        <v>1570</v>
      </c>
      <c r="G8" s="71">
        <v>1484</v>
      </c>
      <c r="H8" s="71">
        <v>1549</v>
      </c>
      <c r="I8" s="71">
        <v>1535</v>
      </c>
      <c r="J8" s="71">
        <v>1493</v>
      </c>
      <c r="K8" s="71">
        <v>1441</v>
      </c>
      <c r="L8" s="71">
        <v>1509</v>
      </c>
      <c r="M8" s="71">
        <f t="shared" si="2"/>
        <v>1509.5</v>
      </c>
      <c r="N8" s="71">
        <f t="shared" si="3"/>
        <v>3951570.6806282722</v>
      </c>
      <c r="O8" s="72">
        <f t="shared" si="0"/>
        <v>41.730684154468399</v>
      </c>
      <c r="P8" s="81">
        <f t="shared" si="1"/>
        <v>2.7645368767451738E-2</v>
      </c>
    </row>
    <row r="9" spans="1:16" ht="16" x14ac:dyDescent="0.4">
      <c r="A9" t="s">
        <v>20</v>
      </c>
      <c r="B9" s="73"/>
      <c r="C9" s="71">
        <v>1409</v>
      </c>
      <c r="D9" s="71">
        <v>1432</v>
      </c>
      <c r="E9" s="71">
        <v>1452</v>
      </c>
      <c r="F9" s="71">
        <v>1340</v>
      </c>
      <c r="G9" s="71">
        <v>1472</v>
      </c>
      <c r="H9" s="71">
        <v>1411</v>
      </c>
      <c r="I9" s="71">
        <v>1430</v>
      </c>
      <c r="J9" s="71">
        <v>1379</v>
      </c>
      <c r="K9" s="71">
        <v>1426</v>
      </c>
      <c r="L9" s="71">
        <v>1000</v>
      </c>
      <c r="M9" s="71">
        <f t="shared" si="2"/>
        <v>1375.1</v>
      </c>
      <c r="N9" s="71">
        <f t="shared" si="3"/>
        <v>3599738.2198952874</v>
      </c>
      <c r="O9" s="72">
        <f t="shared" si="0"/>
        <v>129.81945154713912</v>
      </c>
      <c r="P9" s="81">
        <f t="shared" si="1"/>
        <v>9.4407280595694226E-2</v>
      </c>
    </row>
    <row r="10" spans="1:16" ht="16" x14ac:dyDescent="0.4">
      <c r="A10" t="s">
        <v>21</v>
      </c>
      <c r="B10" s="73"/>
      <c r="C10" s="71">
        <v>1282</v>
      </c>
      <c r="D10" s="71">
        <v>1334</v>
      </c>
      <c r="E10" s="71">
        <v>1224</v>
      </c>
      <c r="F10" s="71">
        <v>1268</v>
      </c>
      <c r="G10" s="71">
        <v>1316</v>
      </c>
      <c r="H10" s="71">
        <v>1282</v>
      </c>
      <c r="I10" s="71">
        <v>1297</v>
      </c>
      <c r="J10" s="71">
        <v>1346</v>
      </c>
      <c r="K10" s="71">
        <v>1299</v>
      </c>
      <c r="L10" s="71">
        <v>1271</v>
      </c>
      <c r="M10" s="71">
        <f t="shared" si="2"/>
        <v>1291.9000000000001</v>
      </c>
      <c r="N10" s="71">
        <f t="shared" si="3"/>
        <v>3381937.172774869</v>
      </c>
      <c r="O10" s="72">
        <f t="shared" si="0"/>
        <v>33.422896343674346</v>
      </c>
      <c r="P10" s="81">
        <f t="shared" si="1"/>
        <v>2.5871117225539395E-2</v>
      </c>
    </row>
    <row r="11" spans="1:16" ht="16" x14ac:dyDescent="0.4">
      <c r="A11" t="s">
        <v>22</v>
      </c>
      <c r="B11" s="73"/>
      <c r="C11" s="71">
        <v>1491</v>
      </c>
      <c r="D11" s="71">
        <v>1634</v>
      </c>
      <c r="E11" s="71">
        <v>1586</v>
      </c>
      <c r="F11" s="71">
        <v>1655</v>
      </c>
      <c r="G11" s="71">
        <v>1597</v>
      </c>
      <c r="H11" s="71">
        <v>1680</v>
      </c>
      <c r="I11" s="71">
        <v>1629</v>
      </c>
      <c r="J11" s="71">
        <v>1624</v>
      </c>
      <c r="K11" s="71">
        <v>1574</v>
      </c>
      <c r="L11" s="71">
        <v>1542</v>
      </c>
      <c r="M11" s="71">
        <f t="shared" si="2"/>
        <v>1601.2</v>
      </c>
      <c r="N11" s="71">
        <f t="shared" si="3"/>
        <v>4191623.0366492146</v>
      </c>
      <c r="O11" s="72">
        <f t="shared" si="0"/>
        <v>53.018487341681109</v>
      </c>
      <c r="P11" s="81">
        <f t="shared" si="1"/>
        <v>3.3111720797952229E-2</v>
      </c>
    </row>
    <row r="12" spans="1:16" ht="16" x14ac:dyDescent="0.4">
      <c r="A12" t="s">
        <v>23</v>
      </c>
      <c r="B12" s="73"/>
      <c r="C12" s="71">
        <v>1352</v>
      </c>
      <c r="D12" s="71">
        <v>1321</v>
      </c>
      <c r="E12" s="71">
        <v>1380</v>
      </c>
      <c r="F12" s="71">
        <v>1350</v>
      </c>
      <c r="G12" s="71">
        <v>1362</v>
      </c>
      <c r="H12" s="71">
        <v>1330</v>
      </c>
      <c r="I12" s="71">
        <v>1365</v>
      </c>
      <c r="J12" s="71">
        <v>1357</v>
      </c>
      <c r="K12" s="71">
        <v>1317</v>
      </c>
      <c r="L12" s="71">
        <v>1318</v>
      </c>
      <c r="M12" s="71">
        <f t="shared" si="2"/>
        <v>1345.2</v>
      </c>
      <c r="N12" s="71">
        <f t="shared" si="3"/>
        <v>3521465.9685863876</v>
      </c>
      <c r="O12" s="72">
        <f t="shared" si="0"/>
        <v>21.08459153030952</v>
      </c>
      <c r="P12" s="81">
        <f t="shared" si="1"/>
        <v>1.5673945532492954E-2</v>
      </c>
    </row>
    <row r="13" spans="1:16" ht="16" x14ac:dyDescent="0.4">
      <c r="A13" s="82" t="s">
        <v>24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83"/>
    </row>
    <row r="14" spans="1:16" ht="16" x14ac:dyDescent="0.4">
      <c r="A14" s="84" t="s">
        <v>25</v>
      </c>
      <c r="B14" s="73"/>
      <c r="C14" s="71">
        <v>1265</v>
      </c>
      <c r="D14" s="71">
        <v>1157</v>
      </c>
      <c r="E14" s="71">
        <v>1253</v>
      </c>
      <c r="F14" s="71">
        <v>1240</v>
      </c>
      <c r="G14" s="71">
        <v>1212</v>
      </c>
      <c r="H14" s="71">
        <v>1245</v>
      </c>
      <c r="I14" s="71">
        <v>1236</v>
      </c>
      <c r="J14" s="71">
        <v>1185</v>
      </c>
      <c r="K14" s="71">
        <v>1176</v>
      </c>
      <c r="L14" s="71">
        <v>1224</v>
      </c>
      <c r="M14" s="71">
        <f t="shared" si="2"/>
        <v>1219.3</v>
      </c>
      <c r="N14" s="71">
        <f t="shared" si="3"/>
        <v>3191884.8167539267</v>
      </c>
      <c r="O14" s="72">
        <f t="shared" ref="O14:O23" si="4">_xlfn.STDEV.P(C14:L14)</f>
        <v>34.05891953659129</v>
      </c>
      <c r="P14" s="81">
        <f t="shared" ref="P14:P23" si="5">O14/M14</f>
        <v>2.7933174392349127E-2</v>
      </c>
    </row>
    <row r="15" spans="1:16" ht="16" x14ac:dyDescent="0.4">
      <c r="A15" s="84" t="s">
        <v>26</v>
      </c>
      <c r="B15" s="73"/>
      <c r="C15" s="71">
        <v>1221</v>
      </c>
      <c r="D15" s="71">
        <v>1210</v>
      </c>
      <c r="E15" s="71">
        <v>1168</v>
      </c>
      <c r="F15" s="71">
        <v>1205</v>
      </c>
      <c r="G15" s="71">
        <v>1191</v>
      </c>
      <c r="H15" s="71">
        <v>1196</v>
      </c>
      <c r="I15" s="71">
        <v>1191</v>
      </c>
      <c r="J15" s="71">
        <v>1187</v>
      </c>
      <c r="K15" s="71">
        <v>1171</v>
      </c>
      <c r="L15" s="71">
        <v>1183</v>
      </c>
      <c r="M15" s="71">
        <f t="shared" si="2"/>
        <v>1192.3</v>
      </c>
      <c r="N15" s="71">
        <f t="shared" si="3"/>
        <v>3121204.188481675</v>
      </c>
      <c r="O15" s="72">
        <f t="shared" si="4"/>
        <v>15.729272074701996</v>
      </c>
      <c r="P15" s="81">
        <f t="shared" si="5"/>
        <v>1.3192377819929544E-2</v>
      </c>
    </row>
    <row r="16" spans="1:16" ht="16" x14ac:dyDescent="0.4">
      <c r="A16" s="84" t="s">
        <v>27</v>
      </c>
      <c r="B16" s="73"/>
      <c r="C16" s="71">
        <v>1281</v>
      </c>
      <c r="D16" s="71">
        <v>1252</v>
      </c>
      <c r="E16" s="71">
        <v>1215</v>
      </c>
      <c r="F16" s="71">
        <v>1202</v>
      </c>
      <c r="G16" s="71">
        <v>1235</v>
      </c>
      <c r="H16" s="71">
        <v>1238</v>
      </c>
      <c r="I16" s="71">
        <v>1308</v>
      </c>
      <c r="J16" s="71">
        <v>1207</v>
      </c>
      <c r="K16" s="71">
        <v>1222</v>
      </c>
      <c r="L16" s="71">
        <v>1221</v>
      </c>
      <c r="M16" s="71">
        <f t="shared" si="2"/>
        <v>1238.0999999999999</v>
      </c>
      <c r="N16" s="71">
        <f t="shared" si="3"/>
        <v>3241099.4764397903</v>
      </c>
      <c r="O16" s="72">
        <f t="shared" si="4"/>
        <v>32.070079513465501</v>
      </c>
      <c r="P16" s="81">
        <f t="shared" si="5"/>
        <v>2.5902656904503274E-2</v>
      </c>
    </row>
    <row r="17" spans="1:16" ht="16" x14ac:dyDescent="0.4">
      <c r="A17" s="84" t="s">
        <v>28</v>
      </c>
      <c r="B17" s="73"/>
      <c r="C17" s="71">
        <v>1209</v>
      </c>
      <c r="D17" s="71">
        <v>1215</v>
      </c>
      <c r="E17" s="71">
        <v>1182</v>
      </c>
      <c r="F17" s="71">
        <v>1206</v>
      </c>
      <c r="G17" s="71">
        <v>1226</v>
      </c>
      <c r="H17" s="71">
        <v>1131</v>
      </c>
      <c r="I17" s="71">
        <v>1231</v>
      </c>
      <c r="J17" s="71">
        <v>1177</v>
      </c>
      <c r="K17" s="71">
        <v>1206</v>
      </c>
      <c r="L17" s="71">
        <v>1191</v>
      </c>
      <c r="M17" s="71">
        <f t="shared" si="2"/>
        <v>1197.4000000000001</v>
      </c>
      <c r="N17" s="71">
        <f t="shared" si="3"/>
        <v>3134554.9738219897</v>
      </c>
      <c r="O17" s="72">
        <f t="shared" si="4"/>
        <v>27.644891028904418</v>
      </c>
      <c r="P17" s="81">
        <f t="shared" si="5"/>
        <v>2.3087431960000349E-2</v>
      </c>
    </row>
    <row r="18" spans="1:16" ht="16" x14ac:dyDescent="0.4">
      <c r="A18" s="84" t="s">
        <v>29</v>
      </c>
      <c r="B18" s="73"/>
      <c r="C18" s="71">
        <v>1066</v>
      </c>
      <c r="D18" s="71">
        <v>1097</v>
      </c>
      <c r="E18" s="71">
        <v>1065</v>
      </c>
      <c r="F18" s="71">
        <v>1099</v>
      </c>
      <c r="G18" s="71">
        <v>1091</v>
      </c>
      <c r="H18" s="71">
        <v>1078</v>
      </c>
      <c r="I18" s="71">
        <v>1107</v>
      </c>
      <c r="J18" s="71">
        <v>1109</v>
      </c>
      <c r="K18" s="71">
        <v>1141</v>
      </c>
      <c r="L18" s="71">
        <v>1077</v>
      </c>
      <c r="M18" s="71">
        <f t="shared" si="2"/>
        <v>1093</v>
      </c>
      <c r="N18" s="71">
        <f t="shared" si="3"/>
        <v>2861256.5445026178</v>
      </c>
      <c r="O18" s="72">
        <f t="shared" si="4"/>
        <v>21.922591087734133</v>
      </c>
      <c r="P18" s="81">
        <f t="shared" si="5"/>
        <v>2.0057265405063252E-2</v>
      </c>
    </row>
    <row r="19" spans="1:16" ht="16" x14ac:dyDescent="0.4">
      <c r="A19" s="84" t="s">
        <v>30</v>
      </c>
      <c r="B19" s="73"/>
      <c r="C19" s="71">
        <v>1292</v>
      </c>
      <c r="D19" s="71">
        <v>1332</v>
      </c>
      <c r="E19" s="71">
        <v>1369</v>
      </c>
      <c r="F19" s="71">
        <v>1262</v>
      </c>
      <c r="G19" s="71">
        <v>1317</v>
      </c>
      <c r="H19" s="71">
        <v>1338</v>
      </c>
      <c r="I19" s="71">
        <v>1346</v>
      </c>
      <c r="J19" s="71">
        <v>1330</v>
      </c>
      <c r="K19" s="71">
        <v>1322</v>
      </c>
      <c r="L19" s="71">
        <v>1314</v>
      </c>
      <c r="M19" s="71">
        <f t="shared" si="2"/>
        <v>1322.2</v>
      </c>
      <c r="N19" s="71">
        <f t="shared" si="3"/>
        <v>3461256.5445026178</v>
      </c>
      <c r="O19" s="72">
        <f t="shared" si="4"/>
        <v>27.91701989826278</v>
      </c>
      <c r="P19" s="81">
        <f t="shared" si="5"/>
        <v>2.1114067386373302E-2</v>
      </c>
    </row>
    <row r="20" spans="1:16" ht="16" x14ac:dyDescent="0.4">
      <c r="A20" s="84" t="s">
        <v>31</v>
      </c>
      <c r="B20" s="73"/>
      <c r="C20" s="71">
        <v>1401</v>
      </c>
      <c r="D20" s="71">
        <v>1391</v>
      </c>
      <c r="E20" s="71">
        <v>1368</v>
      </c>
      <c r="F20" s="71">
        <v>1419</v>
      </c>
      <c r="G20" s="71">
        <v>1424</v>
      </c>
      <c r="H20" s="71">
        <v>1477</v>
      </c>
      <c r="I20" s="71">
        <v>1419</v>
      </c>
      <c r="J20" s="71">
        <v>1463</v>
      </c>
      <c r="K20" s="71">
        <v>1407</v>
      </c>
      <c r="L20" s="71">
        <v>1359</v>
      </c>
      <c r="M20" s="71">
        <f t="shared" si="2"/>
        <v>1412.8</v>
      </c>
      <c r="N20" s="71">
        <f t="shared" si="3"/>
        <v>3698429.3193717273</v>
      </c>
      <c r="O20" s="72">
        <f t="shared" si="4"/>
        <v>35.204545161101002</v>
      </c>
      <c r="P20" s="81">
        <f t="shared" si="5"/>
        <v>2.4918279417540348E-2</v>
      </c>
    </row>
    <row r="21" spans="1:16" ht="16" x14ac:dyDescent="0.4">
      <c r="A21" s="84" t="s">
        <v>32</v>
      </c>
      <c r="B21" s="73"/>
      <c r="C21" s="71">
        <v>1262</v>
      </c>
      <c r="D21" s="71">
        <v>1236</v>
      </c>
      <c r="E21" s="71">
        <v>1201</v>
      </c>
      <c r="F21" s="71">
        <v>1296</v>
      </c>
      <c r="G21" s="71">
        <v>1339</v>
      </c>
      <c r="H21" s="71">
        <v>1302</v>
      </c>
      <c r="I21" s="71">
        <v>1283</v>
      </c>
      <c r="J21" s="71">
        <v>1302</v>
      </c>
      <c r="K21" s="71">
        <v>1340</v>
      </c>
      <c r="L21" s="71">
        <v>1353</v>
      </c>
      <c r="M21" s="71">
        <f t="shared" si="2"/>
        <v>1291.4000000000001</v>
      </c>
      <c r="N21" s="71">
        <f t="shared" si="3"/>
        <v>3380628.2722513089</v>
      </c>
      <c r="O21" s="72">
        <f t="shared" si="4"/>
        <v>45.655667775206183</v>
      </c>
      <c r="P21" s="81">
        <f t="shared" si="5"/>
        <v>3.535362225120503E-2</v>
      </c>
    </row>
    <row r="22" spans="1:16" ht="16" x14ac:dyDescent="0.4">
      <c r="A22" s="84" t="s">
        <v>33</v>
      </c>
      <c r="B22" s="73"/>
      <c r="C22" s="71">
        <v>1255</v>
      </c>
      <c r="D22" s="71">
        <v>1252</v>
      </c>
      <c r="E22" s="71">
        <v>1278</v>
      </c>
      <c r="F22" s="71">
        <v>1240</v>
      </c>
      <c r="G22" s="71">
        <v>1292</v>
      </c>
      <c r="H22" s="71">
        <v>1293</v>
      </c>
      <c r="I22" s="71">
        <v>1281</v>
      </c>
      <c r="J22" s="71">
        <v>1268</v>
      </c>
      <c r="K22" s="71">
        <v>1254</v>
      </c>
      <c r="L22" s="71">
        <v>1245</v>
      </c>
      <c r="M22" s="71">
        <f t="shared" si="2"/>
        <v>1265.8</v>
      </c>
      <c r="N22" s="71">
        <f t="shared" si="3"/>
        <v>3313612.5654450259</v>
      </c>
      <c r="O22" s="72">
        <f t="shared" si="4"/>
        <v>18.318296864064628</v>
      </c>
      <c r="P22" s="81">
        <f t="shared" si="5"/>
        <v>1.4471715013481299E-2</v>
      </c>
    </row>
    <row r="23" spans="1:16" ht="16" x14ac:dyDescent="0.4">
      <c r="A23" s="84" t="s">
        <v>34</v>
      </c>
      <c r="B23" s="73"/>
      <c r="C23" s="71">
        <v>1195</v>
      </c>
      <c r="D23" s="71">
        <v>1192</v>
      </c>
      <c r="E23" s="71">
        <v>1221</v>
      </c>
      <c r="F23" s="71">
        <v>1234</v>
      </c>
      <c r="G23" s="71">
        <v>1262</v>
      </c>
      <c r="H23" s="71">
        <v>1287</v>
      </c>
      <c r="I23" s="71">
        <v>1299</v>
      </c>
      <c r="J23" s="71">
        <v>1271</v>
      </c>
      <c r="K23" s="71">
        <v>1236</v>
      </c>
      <c r="L23" s="71">
        <v>1288</v>
      </c>
      <c r="M23" s="71">
        <f t="shared" si="2"/>
        <v>1248.5</v>
      </c>
      <c r="N23" s="71">
        <f t="shared" si="3"/>
        <v>3268324.6073298426</v>
      </c>
      <c r="O23" s="72">
        <f t="shared" si="4"/>
        <v>36.685828326480511</v>
      </c>
      <c r="P23" s="81">
        <f t="shared" si="5"/>
        <v>2.9383923369227481E-2</v>
      </c>
    </row>
    <row r="24" spans="1:16" ht="16" x14ac:dyDescent="0.4">
      <c r="A24" s="85" t="s">
        <v>35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83"/>
    </row>
    <row r="25" spans="1:16" ht="16" x14ac:dyDescent="0.4">
      <c r="A25" s="86" t="s">
        <v>36</v>
      </c>
      <c r="B25" s="70"/>
      <c r="C25" s="71">
        <v>1137</v>
      </c>
      <c r="D25" s="71">
        <v>1130</v>
      </c>
      <c r="E25" s="71">
        <v>1140</v>
      </c>
      <c r="F25" s="71">
        <v>1125</v>
      </c>
      <c r="G25" s="71">
        <v>1122</v>
      </c>
      <c r="H25" s="71">
        <v>1141</v>
      </c>
      <c r="I25" s="71">
        <v>1076</v>
      </c>
      <c r="J25" s="71">
        <v>1108</v>
      </c>
      <c r="K25" s="71">
        <v>1101</v>
      </c>
      <c r="L25" s="71">
        <v>1130</v>
      </c>
      <c r="M25" s="71">
        <f t="shared" si="2"/>
        <v>1121</v>
      </c>
      <c r="N25" s="71">
        <f t="shared" si="3"/>
        <v>2934554.9738219893</v>
      </c>
      <c r="O25" s="72">
        <f t="shared" ref="O25:O34" si="6">_xlfn.STDEV.P(C25:L25)</f>
        <v>19.467922333931785</v>
      </c>
      <c r="P25" s="81">
        <f t="shared" ref="P25:P34" si="7">O25/M25</f>
        <v>1.7366567648467248E-2</v>
      </c>
    </row>
    <row r="26" spans="1:16" ht="16" x14ac:dyDescent="0.4">
      <c r="A26" s="86" t="s">
        <v>37</v>
      </c>
      <c r="B26" s="70"/>
      <c r="C26" s="71">
        <v>1225</v>
      </c>
      <c r="D26" s="71">
        <v>1196</v>
      </c>
      <c r="E26" s="71">
        <v>1240</v>
      </c>
      <c r="F26" s="71">
        <v>1197</v>
      </c>
      <c r="G26" s="71">
        <v>1253</v>
      </c>
      <c r="H26" s="71">
        <v>1266</v>
      </c>
      <c r="I26" s="71">
        <v>1234</v>
      </c>
      <c r="J26" s="71">
        <v>1276</v>
      </c>
      <c r="K26" s="71">
        <v>1288</v>
      </c>
      <c r="L26" s="71">
        <v>1232</v>
      </c>
      <c r="M26" s="71">
        <f t="shared" si="2"/>
        <v>1240.7</v>
      </c>
      <c r="N26" s="71">
        <f t="shared" si="3"/>
        <v>3247905.7591623035</v>
      </c>
      <c r="O26" s="72">
        <f t="shared" si="6"/>
        <v>29.240554030318918</v>
      </c>
      <c r="P26" s="81">
        <f t="shared" si="7"/>
        <v>2.3567787563729278E-2</v>
      </c>
    </row>
    <row r="27" spans="1:16" ht="16" x14ac:dyDescent="0.4">
      <c r="A27" s="86" t="s">
        <v>38</v>
      </c>
      <c r="B27" s="70"/>
      <c r="C27" s="71">
        <v>1206</v>
      </c>
      <c r="D27" s="71">
        <v>1159</v>
      </c>
      <c r="E27" s="71">
        <v>1179</v>
      </c>
      <c r="F27" s="71">
        <v>1186</v>
      </c>
      <c r="G27" s="71">
        <v>1161</v>
      </c>
      <c r="H27" s="71">
        <v>1129</v>
      </c>
      <c r="I27" s="71">
        <v>1153</v>
      </c>
      <c r="J27" s="71">
        <v>1096</v>
      </c>
      <c r="K27" s="71">
        <v>1192</v>
      </c>
      <c r="L27" s="71">
        <v>1156</v>
      </c>
      <c r="M27" s="71">
        <f t="shared" si="2"/>
        <v>1161.7</v>
      </c>
      <c r="N27" s="71">
        <f t="shared" si="3"/>
        <v>3041099.4764397908</v>
      </c>
      <c r="O27" s="72">
        <f t="shared" si="6"/>
        <v>30.450123152460318</v>
      </c>
      <c r="P27" s="81">
        <f t="shared" si="7"/>
        <v>2.6211692478660856E-2</v>
      </c>
    </row>
    <row r="28" spans="1:16" ht="16" x14ac:dyDescent="0.4">
      <c r="A28" s="86" t="s">
        <v>39</v>
      </c>
      <c r="B28" s="70"/>
      <c r="C28" s="71">
        <v>1119</v>
      </c>
      <c r="D28" s="71">
        <v>1113</v>
      </c>
      <c r="E28" s="71">
        <v>1114</v>
      </c>
      <c r="F28" s="71">
        <v>1101</v>
      </c>
      <c r="G28" s="71">
        <v>1141</v>
      </c>
      <c r="H28" s="71">
        <v>1118</v>
      </c>
      <c r="I28" s="71">
        <v>1143</v>
      </c>
      <c r="J28" s="71">
        <v>1120</v>
      </c>
      <c r="K28" s="71">
        <v>1158</v>
      </c>
      <c r="L28" s="71">
        <v>1124</v>
      </c>
      <c r="M28" s="71">
        <f t="shared" si="2"/>
        <v>1125.0999999999999</v>
      </c>
      <c r="N28" s="71">
        <f t="shared" si="3"/>
        <v>2945287.9581151828</v>
      </c>
      <c r="O28" s="72">
        <f t="shared" si="6"/>
        <v>16.189193926814269</v>
      </c>
      <c r="P28" s="81">
        <f t="shared" si="7"/>
        <v>1.4389115569117652E-2</v>
      </c>
    </row>
    <row r="29" spans="1:16" ht="16" x14ac:dyDescent="0.4">
      <c r="A29" s="86" t="s">
        <v>40</v>
      </c>
      <c r="B29" s="73"/>
      <c r="C29" s="71">
        <v>1175</v>
      </c>
      <c r="D29" s="71">
        <v>1197</v>
      </c>
      <c r="E29" s="71">
        <v>1209</v>
      </c>
      <c r="F29" s="71">
        <v>1201</v>
      </c>
      <c r="G29" s="71">
        <v>1219</v>
      </c>
      <c r="H29" s="71">
        <v>1198</v>
      </c>
      <c r="I29" s="71">
        <v>1203</v>
      </c>
      <c r="J29" s="71">
        <v>1189</v>
      </c>
      <c r="K29" s="71">
        <v>1222</v>
      </c>
      <c r="L29" s="71">
        <v>1211</v>
      </c>
      <c r="M29" s="71">
        <f t="shared" si="2"/>
        <v>1202.4000000000001</v>
      </c>
      <c r="N29" s="71">
        <f t="shared" si="3"/>
        <v>3147643.9790575919</v>
      </c>
      <c r="O29" s="72">
        <f t="shared" si="6"/>
        <v>13.260467563400621</v>
      </c>
      <c r="P29" s="81">
        <f t="shared" si="7"/>
        <v>1.1028332970226729E-2</v>
      </c>
    </row>
    <row r="30" spans="1:16" ht="16" x14ac:dyDescent="0.4">
      <c r="A30" s="86" t="s">
        <v>41</v>
      </c>
      <c r="B30" s="73"/>
      <c r="C30" s="71">
        <v>1170</v>
      </c>
      <c r="D30" s="71">
        <v>1130</v>
      </c>
      <c r="E30" s="71">
        <v>1163</v>
      </c>
      <c r="F30" s="71">
        <v>1159</v>
      </c>
      <c r="G30" s="71">
        <v>1175</v>
      </c>
      <c r="H30" s="71">
        <v>1144</v>
      </c>
      <c r="I30" s="71">
        <v>1150</v>
      </c>
      <c r="J30" s="71">
        <v>1169</v>
      </c>
      <c r="K30" s="71">
        <v>1189</v>
      </c>
      <c r="L30" s="71">
        <v>1138</v>
      </c>
      <c r="M30" s="71">
        <f t="shared" si="2"/>
        <v>1158.7</v>
      </c>
      <c r="N30" s="71">
        <f t="shared" si="3"/>
        <v>3033246.0732984291</v>
      </c>
      <c r="O30" s="72">
        <f t="shared" si="6"/>
        <v>17.262966141425405</v>
      </c>
      <c r="P30" s="81">
        <f t="shared" si="7"/>
        <v>1.4898564029882976E-2</v>
      </c>
    </row>
    <row r="31" spans="1:16" ht="16" x14ac:dyDescent="0.4">
      <c r="A31" s="86" t="s">
        <v>42</v>
      </c>
      <c r="B31" s="73"/>
      <c r="C31" s="71">
        <v>1204</v>
      </c>
      <c r="D31" s="71">
        <v>1218</v>
      </c>
      <c r="E31" s="71">
        <v>1229</v>
      </c>
      <c r="F31" s="71">
        <v>1140</v>
      </c>
      <c r="G31" s="71">
        <v>1231</v>
      </c>
      <c r="H31" s="71">
        <v>1249</v>
      </c>
      <c r="I31" s="71">
        <v>1272</v>
      </c>
      <c r="J31" s="71">
        <v>1207</v>
      </c>
      <c r="K31" s="71">
        <v>1200</v>
      </c>
      <c r="L31" s="71">
        <v>1234</v>
      </c>
      <c r="M31" s="71">
        <f t="shared" si="2"/>
        <v>1218.4000000000001</v>
      </c>
      <c r="N31" s="71">
        <f t="shared" si="3"/>
        <v>3189528.7958115186</v>
      </c>
      <c r="O31" s="72">
        <f t="shared" si="6"/>
        <v>33.386224704209965</v>
      </c>
      <c r="P31" s="81">
        <f t="shared" si="7"/>
        <v>2.7401694602930043E-2</v>
      </c>
    </row>
    <row r="32" spans="1:16" ht="16" x14ac:dyDescent="0.4">
      <c r="A32" s="86" t="s">
        <v>43</v>
      </c>
      <c r="B32" s="73"/>
      <c r="C32" s="71">
        <v>1192</v>
      </c>
      <c r="D32" s="71">
        <v>1190</v>
      </c>
      <c r="E32" s="71">
        <v>1234</v>
      </c>
      <c r="F32" s="71">
        <v>1205</v>
      </c>
      <c r="G32" s="71">
        <v>1233</v>
      </c>
      <c r="H32" s="71">
        <v>1203</v>
      </c>
      <c r="I32" s="71">
        <v>1220</v>
      </c>
      <c r="J32" s="71">
        <v>1195</v>
      </c>
      <c r="K32" s="71">
        <v>1213</v>
      </c>
      <c r="L32" s="71">
        <v>1243</v>
      </c>
      <c r="M32" s="71">
        <f t="shared" si="2"/>
        <v>1212.8</v>
      </c>
      <c r="N32" s="71">
        <f t="shared" si="3"/>
        <v>3174869.1099476437</v>
      </c>
      <c r="O32" s="72">
        <f t="shared" si="6"/>
        <v>18.021098745637012</v>
      </c>
      <c r="P32" s="81">
        <f t="shared" si="7"/>
        <v>1.4859085377339225E-2</v>
      </c>
    </row>
    <row r="33" spans="1:16" ht="16" x14ac:dyDescent="0.4">
      <c r="A33" s="86" t="s">
        <v>44</v>
      </c>
      <c r="B33" s="73"/>
      <c r="C33" s="71">
        <v>1302</v>
      </c>
      <c r="D33" s="71">
        <v>1315</v>
      </c>
      <c r="E33" s="71">
        <v>1249</v>
      </c>
      <c r="F33" s="71">
        <v>1314</v>
      </c>
      <c r="G33" s="71">
        <v>1330</v>
      </c>
      <c r="H33" s="71">
        <v>1327</v>
      </c>
      <c r="I33" s="71">
        <v>1369</v>
      </c>
      <c r="J33" s="71">
        <v>1334</v>
      </c>
      <c r="K33" s="71">
        <v>1341</v>
      </c>
      <c r="L33" s="71">
        <v>1320</v>
      </c>
      <c r="M33" s="71">
        <f t="shared" si="2"/>
        <v>1320.1</v>
      </c>
      <c r="N33" s="71">
        <f t="shared" si="3"/>
        <v>3455759.1623036647</v>
      </c>
      <c r="O33" s="72">
        <f t="shared" si="6"/>
        <v>29.347742672989352</v>
      </c>
      <c r="P33" s="81">
        <f t="shared" si="7"/>
        <v>2.2231454187553484E-2</v>
      </c>
    </row>
    <row r="34" spans="1:16" ht="16" x14ac:dyDescent="0.4">
      <c r="A34" s="86" t="s">
        <v>45</v>
      </c>
      <c r="B34" s="73"/>
      <c r="C34" s="71">
        <v>1085</v>
      </c>
      <c r="D34" s="71">
        <v>1096</v>
      </c>
      <c r="E34" s="71">
        <v>1088</v>
      </c>
      <c r="F34" s="71">
        <v>1095</v>
      </c>
      <c r="G34" s="71">
        <v>1099</v>
      </c>
      <c r="H34" s="71">
        <v>1113</v>
      </c>
      <c r="I34" s="71">
        <v>1091</v>
      </c>
      <c r="J34" s="71">
        <v>1091</v>
      </c>
      <c r="K34" s="71">
        <v>1090</v>
      </c>
      <c r="L34" s="71">
        <v>1092</v>
      </c>
      <c r="M34" s="71">
        <f t="shared" si="2"/>
        <v>1094</v>
      </c>
      <c r="N34" s="71">
        <f t="shared" si="3"/>
        <v>2863874.345549738</v>
      </c>
      <c r="O34" s="72">
        <f t="shared" si="6"/>
        <v>7.3891812807644666</v>
      </c>
      <c r="P34" s="81">
        <f t="shared" si="7"/>
        <v>6.7542790500589277E-3</v>
      </c>
    </row>
    <row r="35" spans="1:16" ht="16" x14ac:dyDescent="0.4">
      <c r="A35" s="87" t="s">
        <v>46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83"/>
    </row>
    <row r="36" spans="1:16" ht="16" x14ac:dyDescent="0.4">
      <c r="A36" s="86" t="s">
        <v>47</v>
      </c>
      <c r="B36" s="73"/>
      <c r="C36" s="71">
        <v>1397</v>
      </c>
      <c r="D36" s="71">
        <v>1349</v>
      </c>
      <c r="E36" s="71">
        <v>1410</v>
      </c>
      <c r="F36" s="71">
        <v>1286</v>
      </c>
      <c r="G36" s="71">
        <v>1361</v>
      </c>
      <c r="H36" s="71">
        <v>1224</v>
      </c>
      <c r="I36" s="71">
        <v>1412</v>
      </c>
      <c r="J36" s="71">
        <v>1330</v>
      </c>
      <c r="K36" s="71">
        <v>1381</v>
      </c>
      <c r="L36" s="71">
        <v>1389</v>
      </c>
      <c r="M36" s="71">
        <f t="shared" si="2"/>
        <v>1353.9</v>
      </c>
      <c r="N36" s="71">
        <f t="shared" si="3"/>
        <v>3544240.8376963353</v>
      </c>
      <c r="O36" s="72">
        <f t="shared" ref="O36:O45" si="8">_xlfn.STDEV.P(C36:L36)</f>
        <v>56.988507613377628</v>
      </c>
      <c r="P36" s="81">
        <f t="shared" ref="P36:P45" si="9">O36/M36</f>
        <v>4.2092109914600502E-2</v>
      </c>
    </row>
    <row r="37" spans="1:16" ht="16" x14ac:dyDescent="0.4">
      <c r="A37" s="86" t="s">
        <v>48</v>
      </c>
      <c r="B37" s="73"/>
      <c r="C37" s="71">
        <v>1165</v>
      </c>
      <c r="D37" s="71">
        <v>1182</v>
      </c>
      <c r="E37" s="71">
        <v>1220</v>
      </c>
      <c r="F37" s="71">
        <v>1203</v>
      </c>
      <c r="G37" s="71">
        <v>1167</v>
      </c>
      <c r="H37" s="71">
        <v>1186</v>
      </c>
      <c r="I37" s="71">
        <v>1155</v>
      </c>
      <c r="J37" s="71">
        <v>1117</v>
      </c>
      <c r="K37" s="71">
        <v>1184</v>
      </c>
      <c r="L37" s="71">
        <v>1169</v>
      </c>
      <c r="M37" s="71">
        <f t="shared" si="2"/>
        <v>1174.8</v>
      </c>
      <c r="N37" s="71">
        <f t="shared" si="3"/>
        <v>3075392.6701570679</v>
      </c>
      <c r="O37" s="72">
        <f t="shared" si="8"/>
        <v>26.502075390429333</v>
      </c>
      <c r="P37" s="81">
        <f t="shared" si="9"/>
        <v>2.255879757442061E-2</v>
      </c>
    </row>
    <row r="38" spans="1:16" ht="16" x14ac:dyDescent="0.4">
      <c r="A38" s="86" t="s">
        <v>49</v>
      </c>
      <c r="B38" s="73"/>
      <c r="C38" s="71">
        <v>1212</v>
      </c>
      <c r="D38" s="71">
        <v>1225</v>
      </c>
      <c r="E38" s="71">
        <v>1232</v>
      </c>
      <c r="F38" s="71">
        <v>1291</v>
      </c>
      <c r="G38" s="71">
        <v>1208</v>
      </c>
      <c r="H38" s="71">
        <v>1243</v>
      </c>
      <c r="I38" s="71">
        <v>1207</v>
      </c>
      <c r="J38" s="71">
        <v>1160</v>
      </c>
      <c r="K38" s="71">
        <v>1218</v>
      </c>
      <c r="L38" s="71">
        <v>1198</v>
      </c>
      <c r="M38" s="71">
        <f t="shared" si="2"/>
        <v>1219.4000000000001</v>
      </c>
      <c r="N38" s="71">
        <f t="shared" si="3"/>
        <v>3192146.5968586388</v>
      </c>
      <c r="O38" s="72">
        <f t="shared" si="8"/>
        <v>31.938065063494378</v>
      </c>
      <c r="P38" s="81">
        <f t="shared" si="9"/>
        <v>2.6191622981379673E-2</v>
      </c>
    </row>
    <row r="39" spans="1:16" ht="16" x14ac:dyDescent="0.4">
      <c r="A39" s="86" t="s">
        <v>50</v>
      </c>
      <c r="B39" s="73"/>
      <c r="C39" s="71">
        <v>1137</v>
      </c>
      <c r="D39" s="71">
        <v>1161</v>
      </c>
      <c r="E39" s="71">
        <v>1151</v>
      </c>
      <c r="F39" s="71">
        <v>1150</v>
      </c>
      <c r="G39" s="71">
        <v>1118</v>
      </c>
      <c r="H39" s="71">
        <v>1141</v>
      </c>
      <c r="I39" s="71">
        <v>1145</v>
      </c>
      <c r="J39" s="71">
        <v>1110</v>
      </c>
      <c r="K39" s="71">
        <v>1094</v>
      </c>
      <c r="L39" s="71">
        <v>1142</v>
      </c>
      <c r="M39" s="71">
        <f t="shared" si="2"/>
        <v>1134.9000000000001</v>
      </c>
      <c r="N39" s="71">
        <f t="shared" si="3"/>
        <v>2970942.4083769633</v>
      </c>
      <c r="O39" s="72">
        <f t="shared" si="8"/>
        <v>19.851700179077863</v>
      </c>
      <c r="P39" s="81">
        <f t="shared" si="9"/>
        <v>1.7492025886930884E-2</v>
      </c>
    </row>
    <row r="40" spans="1:16" ht="16" x14ac:dyDescent="0.4">
      <c r="A40" s="86" t="s">
        <v>51</v>
      </c>
      <c r="B40" s="73"/>
      <c r="C40" s="71">
        <v>1110</v>
      </c>
      <c r="D40" s="71">
        <v>1133</v>
      </c>
      <c r="E40" s="71">
        <v>1100</v>
      </c>
      <c r="F40" s="71">
        <v>1114</v>
      </c>
      <c r="G40" s="71">
        <v>1139</v>
      </c>
      <c r="H40" s="71">
        <v>1128</v>
      </c>
      <c r="I40" s="71"/>
      <c r="J40" s="71"/>
      <c r="K40" s="71"/>
      <c r="L40" s="71">
        <v>1126</v>
      </c>
      <c r="M40" s="71">
        <f t="shared" si="2"/>
        <v>1121.4285714285713</v>
      </c>
      <c r="N40" s="71">
        <f t="shared" si="3"/>
        <v>2935676.8885564692</v>
      </c>
      <c r="O40" s="72">
        <f t="shared" si="8"/>
        <v>12.826948672420031</v>
      </c>
      <c r="P40" s="81">
        <f t="shared" si="9"/>
        <v>1.1438043402157989E-2</v>
      </c>
    </row>
    <row r="41" spans="1:16" ht="16" x14ac:dyDescent="0.4">
      <c r="A41" s="86" t="s">
        <v>52</v>
      </c>
      <c r="B41" s="73"/>
      <c r="C41" s="71">
        <v>1050</v>
      </c>
      <c r="D41" s="71">
        <v>1075</v>
      </c>
      <c r="E41" s="71">
        <v>1091</v>
      </c>
      <c r="F41" s="71">
        <v>1101</v>
      </c>
      <c r="G41" s="71">
        <v>1117</v>
      </c>
      <c r="H41" s="71">
        <v>1152</v>
      </c>
      <c r="I41" s="71">
        <v>1142</v>
      </c>
      <c r="J41" s="71">
        <v>1095</v>
      </c>
      <c r="K41" s="71">
        <v>1137</v>
      </c>
      <c r="L41" s="71">
        <v>1135</v>
      </c>
      <c r="M41" s="71">
        <f t="shared" si="2"/>
        <v>1109.5</v>
      </c>
      <c r="N41" s="71">
        <f t="shared" si="3"/>
        <v>2904450.2617801046</v>
      </c>
      <c r="O41" s="72">
        <f t="shared" si="8"/>
        <v>31.113501892265358</v>
      </c>
      <c r="P41" s="81">
        <f t="shared" si="9"/>
        <v>2.8042813783024208E-2</v>
      </c>
    </row>
    <row r="42" spans="1:16" ht="16" x14ac:dyDescent="0.4">
      <c r="A42" s="86" t="s">
        <v>53</v>
      </c>
      <c r="B42" s="73"/>
      <c r="C42" s="71">
        <v>1142</v>
      </c>
      <c r="D42" s="71">
        <v>1129</v>
      </c>
      <c r="E42" s="71">
        <v>1192</v>
      </c>
      <c r="F42" s="71">
        <v>1173</v>
      </c>
      <c r="G42" s="71">
        <v>1177</v>
      </c>
      <c r="H42" s="71">
        <v>1202</v>
      </c>
      <c r="I42" s="71">
        <v>1231</v>
      </c>
      <c r="J42" s="71">
        <v>1233</v>
      </c>
      <c r="K42" s="71">
        <v>1251</v>
      </c>
      <c r="L42" s="71">
        <v>1229</v>
      </c>
      <c r="M42" s="71">
        <f t="shared" si="2"/>
        <v>1195.9000000000001</v>
      </c>
      <c r="N42" s="71">
        <f t="shared" si="3"/>
        <v>3130628.2722513089</v>
      </c>
      <c r="O42" s="72">
        <f t="shared" si="8"/>
        <v>38.80064432454698</v>
      </c>
      <c r="P42" s="81">
        <f t="shared" si="9"/>
        <v>3.2444723074292983E-2</v>
      </c>
    </row>
    <row r="43" spans="1:16" ht="16" x14ac:dyDescent="0.4">
      <c r="A43" s="86" t="s">
        <v>54</v>
      </c>
      <c r="B43" s="73"/>
      <c r="C43" s="71">
        <v>1106</v>
      </c>
      <c r="D43" s="71">
        <v>1110</v>
      </c>
      <c r="E43" s="71">
        <v>1182</v>
      </c>
      <c r="F43" s="71">
        <v>1196</v>
      </c>
      <c r="G43" s="71">
        <v>1231</v>
      </c>
      <c r="H43" s="71">
        <v>1238</v>
      </c>
      <c r="I43" s="71">
        <v>1284</v>
      </c>
      <c r="J43" s="71">
        <v>1297</v>
      </c>
      <c r="K43" s="71">
        <v>1374</v>
      </c>
      <c r="L43" s="71">
        <v>1344</v>
      </c>
      <c r="M43" s="71">
        <f t="shared" si="2"/>
        <v>1236.2</v>
      </c>
      <c r="N43" s="71">
        <f t="shared" si="3"/>
        <v>3236125.654450262</v>
      </c>
      <c r="O43" s="72">
        <f t="shared" si="8"/>
        <v>86.05440139818532</v>
      </c>
      <c r="P43" s="81">
        <f t="shared" si="9"/>
        <v>6.9612038018269956E-2</v>
      </c>
    </row>
    <row r="44" spans="1:16" ht="16" x14ac:dyDescent="0.4">
      <c r="A44" s="86" t="s">
        <v>55</v>
      </c>
      <c r="B44" s="73"/>
      <c r="C44" s="71">
        <v>1063</v>
      </c>
      <c r="D44" s="71">
        <v>1074</v>
      </c>
      <c r="E44" s="71">
        <v>1079</v>
      </c>
      <c r="F44" s="71">
        <v>1066</v>
      </c>
      <c r="G44" s="71">
        <v>1122</v>
      </c>
      <c r="H44" s="71">
        <v>1344</v>
      </c>
      <c r="I44" s="71">
        <v>1103</v>
      </c>
      <c r="J44" s="71">
        <v>1141</v>
      </c>
      <c r="K44" s="71">
        <v>1124</v>
      </c>
      <c r="L44" s="71">
        <v>1139</v>
      </c>
      <c r="M44" s="71">
        <f t="shared" si="2"/>
        <v>1125.5</v>
      </c>
      <c r="N44" s="71">
        <f t="shared" si="3"/>
        <v>2946335.0785340313</v>
      </c>
      <c r="O44" s="72">
        <f t="shared" si="8"/>
        <v>78.068239380685412</v>
      </c>
      <c r="P44" s="81">
        <f t="shared" si="9"/>
        <v>6.9363162488392194E-2</v>
      </c>
    </row>
    <row r="45" spans="1:16" ht="16" x14ac:dyDescent="0.4">
      <c r="A45" s="86" t="s">
        <v>56</v>
      </c>
      <c r="B45" s="73"/>
      <c r="C45" s="71">
        <v>1105</v>
      </c>
      <c r="D45" s="71">
        <v>1123</v>
      </c>
      <c r="E45" s="71">
        <v>1144</v>
      </c>
      <c r="F45" s="71">
        <v>1177</v>
      </c>
      <c r="G45" s="71">
        <v>1105</v>
      </c>
      <c r="H45" s="71">
        <v>990</v>
      </c>
      <c r="I45" s="71">
        <v>1323</v>
      </c>
      <c r="J45" s="71"/>
      <c r="K45" s="71"/>
      <c r="L45" s="71">
        <v>1265</v>
      </c>
      <c r="M45" s="71">
        <f t="shared" si="2"/>
        <v>1154</v>
      </c>
      <c r="N45" s="71">
        <f t="shared" si="3"/>
        <v>3020942.4083769633</v>
      </c>
      <c r="O45" s="72">
        <f t="shared" si="8"/>
        <v>96.287330423062414</v>
      </c>
      <c r="P45" s="81">
        <f t="shared" si="9"/>
        <v>8.3437894647367783E-2</v>
      </c>
    </row>
    <row r="46" spans="1:16" ht="16" x14ac:dyDescent="0.4">
      <c r="A46" s="88" t="s">
        <v>57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89"/>
    </row>
    <row r="47" spans="1:16" ht="16" x14ac:dyDescent="0.4">
      <c r="A47" s="86" t="s">
        <v>58</v>
      </c>
      <c r="B47" s="73"/>
      <c r="C47" s="71">
        <v>1332</v>
      </c>
      <c r="D47" s="71">
        <v>1328</v>
      </c>
      <c r="E47" s="71">
        <v>1350</v>
      </c>
      <c r="F47" s="71">
        <v>1335</v>
      </c>
      <c r="G47" s="71">
        <v>1295</v>
      </c>
      <c r="H47" s="71">
        <v>1327</v>
      </c>
      <c r="I47" s="71">
        <v>1322</v>
      </c>
      <c r="J47" s="71">
        <v>1330</v>
      </c>
      <c r="K47" s="71">
        <v>1288</v>
      </c>
      <c r="L47" s="71">
        <v>1369</v>
      </c>
      <c r="M47" s="71">
        <f t="shared" si="2"/>
        <v>1327.6</v>
      </c>
      <c r="N47" s="71">
        <f t="shared" si="3"/>
        <v>3475392.6701570675</v>
      </c>
      <c r="O47" s="72">
        <f t="shared" ref="O47:O56" si="10">_xlfn.STDEV.P(C47:L47)</f>
        <v>22.267465055546847</v>
      </c>
      <c r="P47" s="81">
        <f t="shared" ref="P47:P56" si="11">O47/M47</f>
        <v>1.6772721494084701E-2</v>
      </c>
    </row>
    <row r="48" spans="1:16" ht="16" x14ac:dyDescent="0.4">
      <c r="A48" s="86" t="s">
        <v>59</v>
      </c>
      <c r="B48" s="73"/>
      <c r="C48" s="71">
        <v>1315</v>
      </c>
      <c r="D48" s="71">
        <v>1317</v>
      </c>
      <c r="E48" s="71">
        <v>1273</v>
      </c>
      <c r="F48" s="71">
        <v>1296</v>
      </c>
      <c r="G48" s="71">
        <v>1294</v>
      </c>
      <c r="H48" s="71">
        <v>1287</v>
      </c>
      <c r="I48" s="71">
        <v>1295</v>
      </c>
      <c r="J48" s="71">
        <v>1286</v>
      </c>
      <c r="K48" s="71">
        <v>1255</v>
      </c>
      <c r="L48" s="71">
        <v>1255</v>
      </c>
      <c r="M48" s="71">
        <f t="shared" si="2"/>
        <v>1287.3</v>
      </c>
      <c r="N48" s="71">
        <f t="shared" si="3"/>
        <v>3369895.2879581149</v>
      </c>
      <c r="O48" s="72">
        <f t="shared" si="10"/>
        <v>20.302955449884628</v>
      </c>
      <c r="P48" s="81">
        <f t="shared" si="11"/>
        <v>1.5771735764689373E-2</v>
      </c>
    </row>
    <row r="49" spans="1:16" ht="16" x14ac:dyDescent="0.4">
      <c r="A49" s="86" t="s">
        <v>60</v>
      </c>
      <c r="B49" s="73"/>
      <c r="C49" s="71">
        <v>1243</v>
      </c>
      <c r="D49" s="71">
        <v>1262</v>
      </c>
      <c r="E49" s="71">
        <v>1251</v>
      </c>
      <c r="F49" s="71">
        <v>1207</v>
      </c>
      <c r="G49" s="71">
        <v>1228</v>
      </c>
      <c r="H49" s="71">
        <v>1246</v>
      </c>
      <c r="I49" s="71">
        <v>1215</v>
      </c>
      <c r="J49" s="71">
        <v>1258</v>
      </c>
      <c r="K49" s="71">
        <v>1206</v>
      </c>
      <c r="L49" s="71">
        <v>1229</v>
      </c>
      <c r="M49" s="71">
        <f t="shared" si="2"/>
        <v>1234.5</v>
      </c>
      <c r="N49" s="71">
        <f t="shared" si="3"/>
        <v>3231675.3926701569</v>
      </c>
      <c r="O49" s="72">
        <f t="shared" si="10"/>
        <v>19.510253714393361</v>
      </c>
      <c r="P49" s="81">
        <f t="shared" si="11"/>
        <v>1.5804174738269228E-2</v>
      </c>
    </row>
    <row r="50" spans="1:16" ht="16" x14ac:dyDescent="0.4">
      <c r="A50" s="86" t="s">
        <v>61</v>
      </c>
      <c r="B50" s="73"/>
      <c r="C50" s="71">
        <v>1218</v>
      </c>
      <c r="D50" s="71">
        <v>1208</v>
      </c>
      <c r="E50" s="71">
        <v>1185</v>
      </c>
      <c r="F50" s="71">
        <v>1234</v>
      </c>
      <c r="G50" s="71">
        <v>1217</v>
      </c>
      <c r="H50" s="71">
        <v>1222</v>
      </c>
      <c r="I50" s="71">
        <v>1192</v>
      </c>
      <c r="J50" s="71">
        <v>1215</v>
      </c>
      <c r="K50" s="71">
        <v>1197</v>
      </c>
      <c r="L50" s="71">
        <v>1170</v>
      </c>
      <c r="M50" s="71">
        <f t="shared" si="2"/>
        <v>1205.8</v>
      </c>
      <c r="N50" s="71">
        <f t="shared" si="3"/>
        <v>3156544.5026178006</v>
      </c>
      <c r="O50" s="72">
        <f t="shared" si="10"/>
        <v>18.448848202530151</v>
      </c>
      <c r="P50" s="81">
        <f t="shared" si="11"/>
        <v>1.5300089735055691E-2</v>
      </c>
    </row>
    <row r="51" spans="1:16" ht="16" x14ac:dyDescent="0.4">
      <c r="A51" s="86" t="s">
        <v>62</v>
      </c>
      <c r="B51" s="73"/>
      <c r="C51" s="71">
        <v>1557</v>
      </c>
      <c r="D51" s="71">
        <v>1626</v>
      </c>
      <c r="E51" s="71">
        <v>1649</v>
      </c>
      <c r="F51" s="71">
        <v>1718</v>
      </c>
      <c r="G51" s="71">
        <v>1690</v>
      </c>
      <c r="H51" s="71">
        <v>1702</v>
      </c>
      <c r="I51" s="71">
        <v>1381</v>
      </c>
      <c r="J51" s="71">
        <v>1673</v>
      </c>
      <c r="K51" s="71">
        <v>1709</v>
      </c>
      <c r="L51" s="71">
        <v>1661</v>
      </c>
      <c r="M51" s="71">
        <f t="shared" si="2"/>
        <v>1636.6</v>
      </c>
      <c r="N51" s="71">
        <f t="shared" si="3"/>
        <v>4284293.1937172767</v>
      </c>
      <c r="O51" s="72">
        <f t="shared" si="10"/>
        <v>96.358912405651395</v>
      </c>
      <c r="P51" s="81">
        <f t="shared" si="11"/>
        <v>5.8877497498259442E-2</v>
      </c>
    </row>
    <row r="52" spans="1:16" ht="16" x14ac:dyDescent="0.4">
      <c r="A52" s="86" t="s">
        <v>63</v>
      </c>
      <c r="B52" s="73"/>
      <c r="C52" s="71">
        <v>1545</v>
      </c>
      <c r="D52" s="71">
        <v>1391</v>
      </c>
      <c r="E52" s="71">
        <v>1454</v>
      </c>
      <c r="F52" s="71">
        <v>1477</v>
      </c>
      <c r="G52" s="71">
        <v>1487</v>
      </c>
      <c r="H52" s="71">
        <v>1445</v>
      </c>
      <c r="I52" s="71">
        <v>1481</v>
      </c>
      <c r="J52" s="71">
        <v>1402</v>
      </c>
      <c r="K52" s="71">
        <v>1525</v>
      </c>
      <c r="L52" s="71">
        <v>1538</v>
      </c>
      <c r="M52" s="71">
        <f t="shared" si="2"/>
        <v>1474.5</v>
      </c>
      <c r="N52" s="71">
        <f t="shared" si="3"/>
        <v>3859947.6439790577</v>
      </c>
      <c r="O52" s="72">
        <f t="shared" si="10"/>
        <v>50.275739676309094</v>
      </c>
      <c r="P52" s="81">
        <f t="shared" si="11"/>
        <v>3.409680547732051E-2</v>
      </c>
    </row>
    <row r="53" spans="1:16" ht="16" x14ac:dyDescent="0.4">
      <c r="A53" s="86" t="s">
        <v>64</v>
      </c>
      <c r="B53" s="73"/>
      <c r="C53" s="71">
        <v>1478</v>
      </c>
      <c r="D53" s="71">
        <v>1585</v>
      </c>
      <c r="E53" s="71">
        <v>1520</v>
      </c>
      <c r="F53" s="71">
        <v>1528</v>
      </c>
      <c r="G53" s="71">
        <v>1523</v>
      </c>
      <c r="H53" s="71">
        <v>1557</v>
      </c>
      <c r="I53" s="71">
        <v>1622</v>
      </c>
      <c r="J53" s="71">
        <v>1535</v>
      </c>
      <c r="K53" s="71">
        <v>1600</v>
      </c>
      <c r="L53" s="71">
        <v>1569</v>
      </c>
      <c r="M53" s="71">
        <f t="shared" si="2"/>
        <v>1551.7</v>
      </c>
      <c r="N53" s="71">
        <f t="shared" si="3"/>
        <v>4062041.8848167537</v>
      </c>
      <c r="O53" s="72">
        <f t="shared" si="10"/>
        <v>41.002560895631873</v>
      </c>
      <c r="P53" s="81">
        <f t="shared" si="11"/>
        <v>2.6424283621596874E-2</v>
      </c>
    </row>
    <row r="54" spans="1:16" ht="16" x14ac:dyDescent="0.4">
      <c r="A54" s="86" t="s">
        <v>65</v>
      </c>
      <c r="B54" s="73"/>
      <c r="C54" s="71">
        <v>1584</v>
      </c>
      <c r="D54" s="71">
        <v>1662</v>
      </c>
      <c r="E54" s="71">
        <v>1629</v>
      </c>
      <c r="F54" s="71">
        <v>1607</v>
      </c>
      <c r="G54" s="71">
        <v>1565</v>
      </c>
      <c r="H54" s="71">
        <v>1421</v>
      </c>
      <c r="I54" s="71">
        <v>1685</v>
      </c>
      <c r="J54" s="71">
        <v>1630</v>
      </c>
      <c r="K54" s="71">
        <v>1473</v>
      </c>
      <c r="L54" s="71">
        <v>1592</v>
      </c>
      <c r="M54" s="71">
        <f t="shared" si="2"/>
        <v>1584.8</v>
      </c>
      <c r="N54" s="71">
        <f t="shared" si="3"/>
        <v>4148691.0994764394</v>
      </c>
      <c r="O54" s="72">
        <f t="shared" si="10"/>
        <v>77.629633517104793</v>
      </c>
      <c r="P54" s="81">
        <f t="shared" si="11"/>
        <v>4.8983867691257441E-2</v>
      </c>
    </row>
    <row r="55" spans="1:16" ht="16" x14ac:dyDescent="0.4">
      <c r="A55" s="86" t="s">
        <v>66</v>
      </c>
      <c r="B55" s="73"/>
      <c r="C55" s="71">
        <v>1143</v>
      </c>
      <c r="D55" s="71">
        <v>1168</v>
      </c>
      <c r="E55" s="71">
        <v>1096</v>
      </c>
      <c r="F55" s="71">
        <v>1159</v>
      </c>
      <c r="G55" s="71">
        <v>1186</v>
      </c>
      <c r="H55" s="71">
        <v>1116</v>
      </c>
      <c r="I55" s="71">
        <v>1108</v>
      </c>
      <c r="J55" s="71">
        <v>1190</v>
      </c>
      <c r="K55" s="71">
        <v>1276</v>
      </c>
      <c r="L55" s="71">
        <v>1216</v>
      </c>
      <c r="M55" s="71">
        <f t="shared" si="2"/>
        <v>1165.8</v>
      </c>
      <c r="N55" s="71">
        <f t="shared" si="3"/>
        <v>3051832.4607329839</v>
      </c>
      <c r="O55" s="72">
        <f t="shared" si="10"/>
        <v>51.886028948070404</v>
      </c>
      <c r="P55" s="81">
        <f t="shared" si="11"/>
        <v>4.4506801293592732E-2</v>
      </c>
    </row>
    <row r="56" spans="1:16" ht="16" x14ac:dyDescent="0.4">
      <c r="A56" s="86" t="s">
        <v>67</v>
      </c>
      <c r="B56" s="73"/>
      <c r="C56" s="71">
        <v>1414</v>
      </c>
      <c r="D56" s="71">
        <v>1342</v>
      </c>
      <c r="E56" s="71">
        <v>1444</v>
      </c>
      <c r="F56" s="71">
        <v>1477</v>
      </c>
      <c r="G56" s="71">
        <v>1422</v>
      </c>
      <c r="H56" s="71">
        <v>1371</v>
      </c>
      <c r="I56" s="71">
        <v>1311</v>
      </c>
      <c r="J56" s="71">
        <v>1459</v>
      </c>
      <c r="K56" s="71">
        <v>1422</v>
      </c>
      <c r="L56" s="71">
        <v>1252</v>
      </c>
      <c r="M56" s="71">
        <f t="shared" si="2"/>
        <v>1391.4</v>
      </c>
      <c r="N56" s="71">
        <f t="shared" si="3"/>
        <v>3642408.3769633509</v>
      </c>
      <c r="O56" s="72">
        <f t="shared" si="10"/>
        <v>67.675992789171545</v>
      </c>
      <c r="P56" s="81">
        <f t="shared" si="11"/>
        <v>4.8638775901373825E-2</v>
      </c>
    </row>
    <row r="57" spans="1:16" ht="16" x14ac:dyDescent="0.4">
      <c r="A57" s="88" t="s">
        <v>68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89"/>
    </row>
    <row r="58" spans="1:16" ht="16" x14ac:dyDescent="0.4">
      <c r="A58" s="86" t="s">
        <v>69</v>
      </c>
      <c r="B58" s="73"/>
      <c r="C58" s="71">
        <v>1237</v>
      </c>
      <c r="D58" s="71">
        <v>1190</v>
      </c>
      <c r="E58" s="71">
        <v>1193</v>
      </c>
      <c r="F58" s="71">
        <v>1191</v>
      </c>
      <c r="G58" s="71">
        <v>1185</v>
      </c>
      <c r="H58" s="71">
        <v>1215</v>
      </c>
      <c r="I58" s="71">
        <v>1221</v>
      </c>
      <c r="J58" s="71">
        <v>1177</v>
      </c>
      <c r="K58" s="71">
        <v>1200</v>
      </c>
      <c r="L58" s="71">
        <v>1271</v>
      </c>
      <c r="M58" s="71">
        <f t="shared" si="2"/>
        <v>1208</v>
      </c>
      <c r="N58" s="71">
        <f t="shared" si="3"/>
        <v>3162303.6649214658</v>
      </c>
      <c r="O58" s="72">
        <f t="shared" ref="O58:O67" si="12">_xlfn.STDEV.P(C58:L58)</f>
        <v>27.239676943752471</v>
      </c>
      <c r="P58" s="81">
        <f t="shared" ref="P58:P67" si="13">O58/M58</f>
        <v>2.2549401443503703E-2</v>
      </c>
    </row>
    <row r="59" spans="1:16" ht="16" x14ac:dyDescent="0.4">
      <c r="A59" s="86" t="s">
        <v>70</v>
      </c>
      <c r="B59" s="73"/>
      <c r="C59" s="71">
        <v>1190</v>
      </c>
      <c r="D59" s="71">
        <v>1153</v>
      </c>
      <c r="E59" s="71">
        <v>1159</v>
      </c>
      <c r="F59" s="71">
        <v>1129</v>
      </c>
      <c r="G59" s="71">
        <v>1177</v>
      </c>
      <c r="H59" s="71">
        <v>1112</v>
      </c>
      <c r="I59" s="71">
        <v>1193</v>
      </c>
      <c r="J59" s="71">
        <v>1155</v>
      </c>
      <c r="K59" s="71">
        <v>1170</v>
      </c>
      <c r="L59" s="71">
        <v>1110</v>
      </c>
      <c r="M59" s="71">
        <f t="shared" si="2"/>
        <v>1154.8</v>
      </c>
      <c r="N59" s="71">
        <f t="shared" si="3"/>
        <v>3023036.6492146594</v>
      </c>
      <c r="O59" s="72">
        <f t="shared" si="12"/>
        <v>28.191488077077448</v>
      </c>
      <c r="P59" s="81">
        <f t="shared" si="13"/>
        <v>2.4412442048040741E-2</v>
      </c>
    </row>
    <row r="60" spans="1:16" ht="16" x14ac:dyDescent="0.4">
      <c r="A60" s="86" t="s">
        <v>71</v>
      </c>
      <c r="B60" s="73"/>
      <c r="C60" s="71">
        <v>1139</v>
      </c>
      <c r="D60" s="71">
        <v>1150</v>
      </c>
      <c r="E60" s="71">
        <v>1174</v>
      </c>
      <c r="F60" s="71">
        <v>1176</v>
      </c>
      <c r="G60" s="71">
        <v>1149</v>
      </c>
      <c r="H60" s="71">
        <v>1140</v>
      </c>
      <c r="I60" s="71">
        <v>1176</v>
      </c>
      <c r="J60" s="71">
        <v>1186</v>
      </c>
      <c r="K60" s="71">
        <v>1136</v>
      </c>
      <c r="L60" s="71">
        <v>1171</v>
      </c>
      <c r="M60" s="71">
        <f t="shared" si="2"/>
        <v>1159.7</v>
      </c>
      <c r="N60" s="71">
        <f t="shared" si="3"/>
        <v>3035863.8743455498</v>
      </c>
      <c r="O60" s="72">
        <f t="shared" si="12"/>
        <v>17.72596964907703</v>
      </c>
      <c r="P60" s="81">
        <f t="shared" si="13"/>
        <v>1.5284961325409182E-2</v>
      </c>
    </row>
    <row r="61" spans="1:16" ht="16" x14ac:dyDescent="0.4">
      <c r="A61" s="86" t="s">
        <v>72</v>
      </c>
      <c r="B61" s="73"/>
      <c r="C61" s="71">
        <v>1146</v>
      </c>
      <c r="D61" s="71">
        <v>1167</v>
      </c>
      <c r="E61" s="71">
        <v>1144</v>
      </c>
      <c r="F61" s="71">
        <v>1129</v>
      </c>
      <c r="G61" s="71">
        <v>1146</v>
      </c>
      <c r="H61" s="71">
        <v>1119</v>
      </c>
      <c r="I61" s="71">
        <v>1147</v>
      </c>
      <c r="J61" s="71">
        <v>1166</v>
      </c>
      <c r="K61" s="71">
        <v>1149</v>
      </c>
      <c r="L61" s="71">
        <v>1132</v>
      </c>
      <c r="M61" s="71">
        <f t="shared" si="2"/>
        <v>1144.5</v>
      </c>
      <c r="N61" s="71">
        <f t="shared" si="3"/>
        <v>2996073.2984293192</v>
      </c>
      <c r="O61" s="72">
        <f t="shared" si="12"/>
        <v>14.305593311708536</v>
      </c>
      <c r="P61" s="81">
        <f t="shared" si="13"/>
        <v>1.2499426222550054E-2</v>
      </c>
    </row>
    <row r="62" spans="1:16" ht="16" x14ac:dyDescent="0.4">
      <c r="A62" s="86" t="s">
        <v>73</v>
      </c>
      <c r="B62" s="73"/>
      <c r="C62" s="71">
        <v>1338</v>
      </c>
      <c r="D62" s="71">
        <v>1437</v>
      </c>
      <c r="E62" s="71">
        <v>1331</v>
      </c>
      <c r="F62" s="71">
        <v>1401</v>
      </c>
      <c r="G62" s="71">
        <v>1432</v>
      </c>
      <c r="H62" s="71">
        <v>1451</v>
      </c>
      <c r="I62" s="71">
        <v>1281</v>
      </c>
      <c r="J62" s="71">
        <v>1387</v>
      </c>
      <c r="K62" s="71">
        <v>1441</v>
      </c>
      <c r="L62" s="71">
        <v>1400</v>
      </c>
      <c r="M62" s="71">
        <f t="shared" si="2"/>
        <v>1389.9</v>
      </c>
      <c r="N62" s="71">
        <f t="shared" si="3"/>
        <v>3638481.6753926701</v>
      </c>
      <c r="O62" s="72">
        <f t="shared" si="12"/>
        <v>53.470459133992854</v>
      </c>
      <c r="P62" s="81">
        <f t="shared" si="13"/>
        <v>3.8470723889483312E-2</v>
      </c>
    </row>
    <row r="63" spans="1:16" ht="16" x14ac:dyDescent="0.4">
      <c r="A63" s="86" t="s">
        <v>74</v>
      </c>
      <c r="B63" s="73"/>
      <c r="C63" s="71">
        <v>1191</v>
      </c>
      <c r="D63" s="71">
        <v>1188</v>
      </c>
      <c r="E63" s="71">
        <v>1100</v>
      </c>
      <c r="F63" s="71">
        <v>1277</v>
      </c>
      <c r="G63" s="71">
        <v>1227</v>
      </c>
      <c r="H63" s="71">
        <v>1234</v>
      </c>
      <c r="I63" s="71">
        <v>1242</v>
      </c>
      <c r="J63" s="71">
        <v>1255</v>
      </c>
      <c r="K63" s="71">
        <v>1283</v>
      </c>
      <c r="L63" s="71">
        <v>1239</v>
      </c>
      <c r="M63" s="71">
        <f t="shared" si="2"/>
        <v>1223.5999999999999</v>
      </c>
      <c r="N63" s="71">
        <f t="shared" si="3"/>
        <v>3203141.361256544</v>
      </c>
      <c r="O63" s="72">
        <f t="shared" si="12"/>
        <v>50.663991157428576</v>
      </c>
      <c r="P63" s="81">
        <f t="shared" si="13"/>
        <v>4.1405680906692201E-2</v>
      </c>
    </row>
    <row r="64" spans="1:16" ht="16" x14ac:dyDescent="0.4">
      <c r="A64" s="86" t="s">
        <v>75</v>
      </c>
      <c r="B64" s="73"/>
      <c r="C64" s="71">
        <v>1241</v>
      </c>
      <c r="D64" s="71">
        <v>1103</v>
      </c>
      <c r="E64" s="71">
        <v>1230</v>
      </c>
      <c r="F64" s="71">
        <v>1241</v>
      </c>
      <c r="G64" s="71">
        <v>1153</v>
      </c>
      <c r="H64" s="71">
        <v>1086</v>
      </c>
      <c r="I64" s="71">
        <v>1196</v>
      </c>
      <c r="J64" s="71">
        <v>1261</v>
      </c>
      <c r="K64" s="71">
        <v>1284</v>
      </c>
      <c r="L64" s="71">
        <v>1289</v>
      </c>
      <c r="M64" s="71">
        <f t="shared" si="2"/>
        <v>1208.4000000000001</v>
      </c>
      <c r="N64" s="71">
        <f t="shared" si="3"/>
        <v>3163350.7853403143</v>
      </c>
      <c r="O64" s="72">
        <f t="shared" si="12"/>
        <v>68.472184133412895</v>
      </c>
      <c r="P64" s="81">
        <f t="shared" si="13"/>
        <v>5.6663508882334401E-2</v>
      </c>
    </row>
    <row r="65" spans="1:16" ht="16" x14ac:dyDescent="0.4">
      <c r="A65" s="86" t="s">
        <v>76</v>
      </c>
      <c r="B65" s="73"/>
      <c r="C65" s="71">
        <v>1151</v>
      </c>
      <c r="D65" s="71">
        <v>1166</v>
      </c>
      <c r="E65" s="71">
        <v>1164</v>
      </c>
      <c r="F65" s="71">
        <v>1180</v>
      </c>
      <c r="G65" s="71">
        <v>1097</v>
      </c>
      <c r="H65" s="71">
        <v>1122</v>
      </c>
      <c r="I65" s="71">
        <v>1156</v>
      </c>
      <c r="J65" s="71">
        <v>1138</v>
      </c>
      <c r="K65" s="71">
        <v>1137</v>
      </c>
      <c r="L65" s="71">
        <v>1137</v>
      </c>
      <c r="M65" s="71">
        <f t="shared" si="2"/>
        <v>1144.8</v>
      </c>
      <c r="N65" s="71">
        <f t="shared" si="3"/>
        <v>2996858.6387434551</v>
      </c>
      <c r="O65" s="72">
        <f t="shared" si="12"/>
        <v>22.789471253190587</v>
      </c>
      <c r="P65" s="81">
        <f t="shared" si="13"/>
        <v>1.990694553912525E-2</v>
      </c>
    </row>
    <row r="66" spans="1:16" ht="16" x14ac:dyDescent="0.4">
      <c r="A66" s="86" t="s">
        <v>77</v>
      </c>
      <c r="B66" s="73"/>
      <c r="C66" s="71">
        <v>1041</v>
      </c>
      <c r="D66" s="71">
        <v>1053</v>
      </c>
      <c r="E66" s="71">
        <v>1011</v>
      </c>
      <c r="F66" s="71">
        <v>1128</v>
      </c>
      <c r="G66" s="71">
        <v>1034</v>
      </c>
      <c r="H66" s="71">
        <v>1049</v>
      </c>
      <c r="I66" s="71">
        <v>1010</v>
      </c>
      <c r="J66" s="71">
        <v>1086</v>
      </c>
      <c r="K66" s="71">
        <v>1073</v>
      </c>
      <c r="L66" s="71">
        <v>1114</v>
      </c>
      <c r="M66" s="71">
        <f t="shared" si="2"/>
        <v>1059.9000000000001</v>
      </c>
      <c r="N66" s="71">
        <f t="shared" si="3"/>
        <v>2774607.3298429321</v>
      </c>
      <c r="O66" s="72">
        <f t="shared" si="12"/>
        <v>38.069541631072994</v>
      </c>
      <c r="P66" s="81">
        <f t="shared" si="13"/>
        <v>3.5918050411428426E-2</v>
      </c>
    </row>
    <row r="67" spans="1:16" ht="16" x14ac:dyDescent="0.4">
      <c r="A67" s="86" t="s">
        <v>78</v>
      </c>
      <c r="B67" s="73"/>
      <c r="C67" s="71">
        <f>1495</f>
        <v>1495</v>
      </c>
      <c r="D67" s="71">
        <v>1731</v>
      </c>
      <c r="E67" s="71">
        <v>1609</v>
      </c>
      <c r="F67" s="71">
        <v>1652</v>
      </c>
      <c r="G67" s="71">
        <v>1829</v>
      </c>
      <c r="H67" s="71">
        <v>1490</v>
      </c>
      <c r="I67" s="71"/>
      <c r="J67" s="71"/>
      <c r="K67" s="71">
        <v>1360</v>
      </c>
      <c r="L67" s="71">
        <v>1588</v>
      </c>
      <c r="M67" s="71">
        <f t="shared" si="2"/>
        <v>1594.25</v>
      </c>
      <c r="N67" s="71">
        <f t="shared" si="3"/>
        <v>4173429.3193717278</v>
      </c>
      <c r="O67" s="72">
        <f t="shared" si="12"/>
        <v>138.28932532918077</v>
      </c>
      <c r="P67" s="81">
        <f t="shared" si="13"/>
        <v>8.6742559403594655E-2</v>
      </c>
    </row>
    <row r="68" spans="1:16" ht="16" x14ac:dyDescent="0.4">
      <c r="A68" s="90" t="s">
        <v>79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91"/>
    </row>
    <row r="69" spans="1:16" ht="16" x14ac:dyDescent="0.4">
      <c r="A69" s="42" t="s">
        <v>80</v>
      </c>
      <c r="B69" s="73"/>
      <c r="C69" s="71">
        <v>1281</v>
      </c>
      <c r="D69" s="71">
        <v>1310</v>
      </c>
      <c r="E69" s="71">
        <v>1269</v>
      </c>
      <c r="F69" s="71">
        <v>1264</v>
      </c>
      <c r="G69" s="71">
        <v>1239</v>
      </c>
      <c r="H69" s="71">
        <v>1202</v>
      </c>
      <c r="I69" s="71">
        <v>1233</v>
      </c>
      <c r="J69" s="71">
        <v>1218</v>
      </c>
      <c r="K69" s="71">
        <v>1252</v>
      </c>
      <c r="L69" s="71">
        <v>1000</v>
      </c>
      <c r="M69" s="71">
        <f t="shared" ref="M69:M89" si="14">AVERAGE(C69:L69)</f>
        <v>1226.8</v>
      </c>
      <c r="N69" s="71">
        <f t="shared" ref="N69:N89" si="15">(M69/0.000382)*1</f>
        <v>3211518.3246073294</v>
      </c>
      <c r="O69" s="72">
        <f t="shared" ref="O69:O78" si="16">_xlfn.STDEV.P(C69:L69)</f>
        <v>81.226596629429196</v>
      </c>
      <c r="P69" s="81">
        <f t="shared" ref="P69:P78" si="17">O69/M69</f>
        <v>6.6210137454702639E-2</v>
      </c>
    </row>
    <row r="70" spans="1:16" ht="16" x14ac:dyDescent="0.4">
      <c r="A70" s="42" t="s">
        <v>81</v>
      </c>
      <c r="B70" s="73"/>
      <c r="C70" s="71">
        <v>1368</v>
      </c>
      <c r="D70" s="71">
        <v>1239</v>
      </c>
      <c r="E70" s="71">
        <v>1334</v>
      </c>
      <c r="F70" s="71">
        <v>1232</v>
      </c>
      <c r="G70" s="71">
        <v>1270</v>
      </c>
      <c r="H70" s="71">
        <v>1245</v>
      </c>
      <c r="I70" s="71">
        <v>1211</v>
      </c>
      <c r="J70" s="71">
        <v>1254</v>
      </c>
      <c r="K70" s="71">
        <v>1166</v>
      </c>
      <c r="L70" s="71">
        <v>1223</v>
      </c>
      <c r="M70" s="71">
        <f t="shared" si="14"/>
        <v>1254.2</v>
      </c>
      <c r="N70" s="71">
        <f t="shared" si="15"/>
        <v>3283246.0732984291</v>
      </c>
      <c r="O70" s="72">
        <f t="shared" si="16"/>
        <v>55.673692171437672</v>
      </c>
      <c r="P70" s="81">
        <f t="shared" si="17"/>
        <v>4.4389803995724501E-2</v>
      </c>
    </row>
    <row r="71" spans="1:16" ht="16" x14ac:dyDescent="0.4">
      <c r="A71" s="42" t="s">
        <v>125</v>
      </c>
      <c r="B71" s="73"/>
      <c r="C71" s="71">
        <v>1329</v>
      </c>
      <c r="D71" s="71">
        <v>1279</v>
      </c>
      <c r="E71" s="71">
        <v>1271</v>
      </c>
      <c r="F71" s="71">
        <v>1273</v>
      </c>
      <c r="G71" s="71">
        <v>1267</v>
      </c>
      <c r="H71" s="71">
        <v>1261</v>
      </c>
      <c r="I71" s="71">
        <v>1274</v>
      </c>
      <c r="J71" s="71">
        <v>1280</v>
      </c>
      <c r="K71" s="71">
        <v>1278</v>
      </c>
      <c r="L71" s="71">
        <v>1275</v>
      </c>
      <c r="M71" s="71">
        <f t="shared" si="14"/>
        <v>1278.7</v>
      </c>
      <c r="N71" s="71">
        <f t="shared" si="15"/>
        <v>3347382.1989528798</v>
      </c>
      <c r="O71" s="72">
        <f t="shared" si="16"/>
        <v>17.63547561025787</v>
      </c>
      <c r="P71" s="81">
        <f t="shared" si="17"/>
        <v>1.3791722538717346E-2</v>
      </c>
    </row>
    <row r="72" spans="1:16" ht="16" x14ac:dyDescent="0.4">
      <c r="A72" s="42" t="s">
        <v>82</v>
      </c>
      <c r="B72" s="73"/>
      <c r="C72" s="71">
        <v>1311</v>
      </c>
      <c r="D72" s="71">
        <v>1237</v>
      </c>
      <c r="E72" s="71">
        <v>1308</v>
      </c>
      <c r="F72" s="71">
        <v>1259</v>
      </c>
      <c r="G72" s="71">
        <v>1308</v>
      </c>
      <c r="H72" s="71">
        <v>1302</v>
      </c>
      <c r="I72" s="71">
        <v>1305</v>
      </c>
      <c r="J72" s="71">
        <v>1299</v>
      </c>
      <c r="K72" s="71">
        <v>1316</v>
      </c>
      <c r="L72" s="71">
        <v>1000</v>
      </c>
      <c r="M72" s="71">
        <f t="shared" si="14"/>
        <v>1264.5</v>
      </c>
      <c r="N72" s="71">
        <f t="shared" si="15"/>
        <v>3310209.4240837693</v>
      </c>
      <c r="O72" s="72">
        <f t="shared" si="16"/>
        <v>91.42346525919919</v>
      </c>
      <c r="P72" s="81">
        <f t="shared" si="17"/>
        <v>7.2300091150019133E-2</v>
      </c>
    </row>
    <row r="73" spans="1:16" ht="16" x14ac:dyDescent="0.4">
      <c r="A73" s="42" t="s">
        <v>83</v>
      </c>
      <c r="B73" s="73"/>
      <c r="C73" s="71">
        <v>1290</v>
      </c>
      <c r="D73" s="71">
        <v>1342</v>
      </c>
      <c r="E73" s="71">
        <v>1278</v>
      </c>
      <c r="F73" s="71">
        <v>1209</v>
      </c>
      <c r="G73" s="71">
        <v>1241</v>
      </c>
      <c r="H73" s="71">
        <v>1243</v>
      </c>
      <c r="I73" s="71">
        <v>1309</v>
      </c>
      <c r="J73" s="71">
        <v>1346</v>
      </c>
      <c r="K73" s="71">
        <v>1358</v>
      </c>
      <c r="L73" s="98">
        <v>1370</v>
      </c>
      <c r="M73" s="98">
        <f t="shared" si="14"/>
        <v>1298.5999999999999</v>
      </c>
      <c r="N73" s="98">
        <f t="shared" si="15"/>
        <v>3399476.4397905758</v>
      </c>
      <c r="O73" s="99">
        <f t="shared" si="16"/>
        <v>52.726084626112723</v>
      </c>
      <c r="P73" s="100">
        <f t="shared" si="17"/>
        <v>4.0602252137773548E-2</v>
      </c>
    </row>
    <row r="74" spans="1:16" ht="16" x14ac:dyDescent="0.4">
      <c r="A74" s="42" t="s">
        <v>84</v>
      </c>
      <c r="B74" s="73"/>
      <c r="C74" s="71">
        <v>1269</v>
      </c>
      <c r="D74" s="71">
        <v>1205</v>
      </c>
      <c r="E74" s="71">
        <v>1227</v>
      </c>
      <c r="F74" s="71">
        <v>1211</v>
      </c>
      <c r="G74" s="71">
        <v>1260</v>
      </c>
      <c r="H74" s="71">
        <v>1199</v>
      </c>
      <c r="I74" s="71">
        <v>1216</v>
      </c>
      <c r="J74" s="71">
        <v>1221</v>
      </c>
      <c r="K74" s="97">
        <v>1100</v>
      </c>
      <c r="L74" s="104">
        <v>1226</v>
      </c>
      <c r="M74" s="78">
        <f t="shared" si="14"/>
        <v>1213.4000000000001</v>
      </c>
      <c r="N74" s="78">
        <f t="shared" si="15"/>
        <v>3176439.7905759164</v>
      </c>
      <c r="O74" s="79">
        <f t="shared" si="16"/>
        <v>43.375569160530908</v>
      </c>
      <c r="P74" s="80">
        <f t="shared" si="17"/>
        <v>3.5747131333880751E-2</v>
      </c>
    </row>
    <row r="75" spans="1:16" ht="16" x14ac:dyDescent="0.4">
      <c r="A75" s="42" t="s">
        <v>85</v>
      </c>
      <c r="B75" s="73"/>
      <c r="C75" s="71">
        <v>1357</v>
      </c>
      <c r="D75" s="71">
        <v>1395</v>
      </c>
      <c r="E75" s="71">
        <v>1454</v>
      </c>
      <c r="F75" s="71">
        <v>1276</v>
      </c>
      <c r="G75" s="71">
        <v>1504</v>
      </c>
      <c r="H75" s="71">
        <v>1457</v>
      </c>
      <c r="I75" s="71">
        <v>1251</v>
      </c>
      <c r="J75" s="71">
        <v>1365</v>
      </c>
      <c r="K75" s="97">
        <v>1447</v>
      </c>
      <c r="L75" s="105">
        <v>1385</v>
      </c>
      <c r="M75" s="71">
        <f t="shared" si="14"/>
        <v>1389.1</v>
      </c>
      <c r="N75" s="71">
        <f t="shared" si="15"/>
        <v>3636387.4345549736</v>
      </c>
      <c r="O75" s="72">
        <f t="shared" si="16"/>
        <v>76.748224735168961</v>
      </c>
      <c r="P75" s="81">
        <f t="shared" si="17"/>
        <v>5.5250323760110118E-2</v>
      </c>
    </row>
    <row r="76" spans="1:16" ht="16" x14ac:dyDescent="0.4">
      <c r="A76" s="42" t="s">
        <v>86</v>
      </c>
      <c r="B76" s="73"/>
      <c r="C76" s="71">
        <v>1336</v>
      </c>
      <c r="D76" s="71">
        <v>1474</v>
      </c>
      <c r="E76" s="71">
        <v>1611</v>
      </c>
      <c r="F76" s="71">
        <v>1406</v>
      </c>
      <c r="G76" s="71">
        <v>1456</v>
      </c>
      <c r="H76" s="71">
        <v>1385</v>
      </c>
      <c r="I76" s="71">
        <v>1545</v>
      </c>
      <c r="J76" s="71">
        <v>1558</v>
      </c>
      <c r="K76" s="97">
        <v>1524</v>
      </c>
      <c r="L76" s="106">
        <v>1479</v>
      </c>
      <c r="M76" s="94">
        <f t="shared" si="14"/>
        <v>1477.4</v>
      </c>
      <c r="N76" s="94">
        <f t="shared" si="15"/>
        <v>3867539.2670157067</v>
      </c>
      <c r="O76" s="95">
        <f t="shared" si="16"/>
        <v>80.739333660861973</v>
      </c>
      <c r="P76" s="96">
        <f t="shared" si="17"/>
        <v>5.4649609896346263E-2</v>
      </c>
    </row>
    <row r="77" spans="1:16" ht="16" x14ac:dyDescent="0.4">
      <c r="A77" s="42" t="s">
        <v>87</v>
      </c>
      <c r="B77" s="73"/>
      <c r="C77" s="71">
        <v>1488</v>
      </c>
      <c r="D77" s="71">
        <v>1570</v>
      </c>
      <c r="E77" s="71">
        <v>1613</v>
      </c>
      <c r="F77" s="71">
        <v>1762</v>
      </c>
      <c r="G77" s="71">
        <v>1661</v>
      </c>
      <c r="H77" s="71">
        <v>1489</v>
      </c>
      <c r="I77" s="71">
        <v>1629</v>
      </c>
      <c r="J77" s="71">
        <v>1513</v>
      </c>
      <c r="K77" s="71">
        <v>1742</v>
      </c>
      <c r="L77" s="101">
        <v>1497</v>
      </c>
      <c r="M77" s="101">
        <f t="shared" si="14"/>
        <v>1596.4</v>
      </c>
      <c r="N77" s="101">
        <f t="shared" si="15"/>
        <v>4179057.5916230367</v>
      </c>
      <c r="O77" s="102">
        <f t="shared" si="16"/>
        <v>97.443522103832024</v>
      </c>
      <c r="P77" s="103">
        <f t="shared" si="17"/>
        <v>6.1039540280526196E-2</v>
      </c>
    </row>
    <row r="78" spans="1:16" ht="16" x14ac:dyDescent="0.4">
      <c r="A78" s="42" t="s">
        <v>88</v>
      </c>
      <c r="B78" s="73"/>
      <c r="C78" s="71">
        <v>1551</v>
      </c>
      <c r="D78" s="71">
        <v>1693</v>
      </c>
      <c r="E78" s="71">
        <v>1561</v>
      </c>
      <c r="F78" s="71">
        <v>1436</v>
      </c>
      <c r="G78" s="71">
        <v>1602</v>
      </c>
      <c r="H78" s="71">
        <v>1675</v>
      </c>
      <c r="I78" s="71">
        <v>1840</v>
      </c>
      <c r="J78" s="71">
        <v>1580</v>
      </c>
      <c r="K78" s="71">
        <v>1504</v>
      </c>
      <c r="L78" s="71">
        <v>1623</v>
      </c>
      <c r="M78" s="71">
        <f t="shared" si="14"/>
        <v>1606.5</v>
      </c>
      <c r="N78" s="71">
        <f t="shared" si="15"/>
        <v>4205497.3821989531</v>
      </c>
      <c r="O78" s="72">
        <f t="shared" si="16"/>
        <v>106.02759074882349</v>
      </c>
      <c r="P78" s="81">
        <f t="shared" si="17"/>
        <v>6.5999122781713965E-2</v>
      </c>
    </row>
    <row r="79" spans="1:16" ht="16" x14ac:dyDescent="0.4">
      <c r="A79" s="90" t="s">
        <v>89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89"/>
    </row>
    <row r="80" spans="1:16" ht="16" x14ac:dyDescent="0.4">
      <c r="A80" s="86" t="s">
        <v>90</v>
      </c>
      <c r="B80" s="73"/>
      <c r="C80" s="71">
        <v>1289</v>
      </c>
      <c r="D80" s="71">
        <v>1309</v>
      </c>
      <c r="E80" s="71">
        <v>1303</v>
      </c>
      <c r="F80" s="71">
        <v>1345</v>
      </c>
      <c r="G80" s="71">
        <v>1397</v>
      </c>
      <c r="H80" s="71">
        <v>1353</v>
      </c>
      <c r="I80" s="71">
        <v>1338</v>
      </c>
      <c r="J80" s="71">
        <v>1291</v>
      </c>
      <c r="K80" s="71">
        <v>1303</v>
      </c>
      <c r="L80" s="71">
        <v>1349</v>
      </c>
      <c r="M80" s="71">
        <f t="shared" si="14"/>
        <v>1327.7</v>
      </c>
      <c r="N80" s="71">
        <f t="shared" si="15"/>
        <v>3475654.4502617801</v>
      </c>
      <c r="O80" s="72">
        <f t="shared" ref="O80:O89" si="18">_xlfn.STDEV.P(C80:L80)</f>
        <v>32.735454785293577</v>
      </c>
      <c r="P80" s="81">
        <f t="shared" ref="P80:P89" si="19">O80/M80</f>
        <v>2.4655761682076956E-2</v>
      </c>
    </row>
    <row r="81" spans="1:16" ht="16" x14ac:dyDescent="0.4">
      <c r="A81" s="86" t="s">
        <v>91</v>
      </c>
      <c r="B81" s="73"/>
      <c r="C81" s="71">
        <v>1270</v>
      </c>
      <c r="D81" s="71">
        <v>1275</v>
      </c>
      <c r="E81" s="71">
        <v>1278</v>
      </c>
      <c r="F81" s="71">
        <v>1277</v>
      </c>
      <c r="G81" s="71">
        <v>1276</v>
      </c>
      <c r="H81" s="71">
        <v>1300</v>
      </c>
      <c r="I81" s="71">
        <v>1284</v>
      </c>
      <c r="J81" s="71">
        <v>1257</v>
      </c>
      <c r="K81" s="71">
        <v>1298</v>
      </c>
      <c r="L81" s="71">
        <v>1270</v>
      </c>
      <c r="M81" s="71">
        <f t="shared" si="14"/>
        <v>1278.5</v>
      </c>
      <c r="N81" s="71">
        <f t="shared" si="15"/>
        <v>3346858.6387434555</v>
      </c>
      <c r="O81" s="72">
        <f t="shared" si="18"/>
        <v>12.2494897852931</v>
      </c>
      <c r="P81" s="81">
        <f t="shared" si="19"/>
        <v>9.5811417953016037E-3</v>
      </c>
    </row>
    <row r="82" spans="1:16" ht="16" x14ac:dyDescent="0.4">
      <c r="A82" s="86" t="s">
        <v>92</v>
      </c>
      <c r="B82" s="73"/>
      <c r="C82" s="71">
        <v>1312</v>
      </c>
      <c r="D82" s="71">
        <v>1318</v>
      </c>
      <c r="E82" s="71">
        <v>1310</v>
      </c>
      <c r="F82" s="71">
        <v>1327</v>
      </c>
      <c r="G82" s="71">
        <v>1324</v>
      </c>
      <c r="H82" s="71">
        <v>1321</v>
      </c>
      <c r="I82" s="71">
        <v>1324</v>
      </c>
      <c r="J82" s="71">
        <v>1352</v>
      </c>
      <c r="K82" s="71">
        <v>1324</v>
      </c>
      <c r="L82" s="71">
        <v>1346</v>
      </c>
      <c r="M82" s="71">
        <f t="shared" si="14"/>
        <v>1325.8</v>
      </c>
      <c r="N82" s="71">
        <f t="shared" si="15"/>
        <v>3470680.6282722512</v>
      </c>
      <c r="O82" s="72">
        <f t="shared" si="18"/>
        <v>12.765578717786358</v>
      </c>
      <c r="P82" s="81">
        <f t="shared" si="19"/>
        <v>9.6285855466785031E-3</v>
      </c>
    </row>
    <row r="83" spans="1:16" ht="16" x14ac:dyDescent="0.4">
      <c r="A83" s="86" t="s">
        <v>93</v>
      </c>
      <c r="B83" s="73"/>
      <c r="C83" s="71">
        <v>1285</v>
      </c>
      <c r="D83" s="71">
        <v>1280</v>
      </c>
      <c r="E83" s="71">
        <v>1298</v>
      </c>
      <c r="F83" s="71">
        <v>1282</v>
      </c>
      <c r="G83" s="71">
        <v>1292</v>
      </c>
      <c r="H83" s="71">
        <v>1295</v>
      </c>
      <c r="I83" s="71">
        <v>1277</v>
      </c>
      <c r="J83" s="71">
        <v>1279</v>
      </c>
      <c r="K83" s="71">
        <v>1280</v>
      </c>
      <c r="L83" s="71">
        <v>1279</v>
      </c>
      <c r="M83" s="71">
        <f t="shared" si="14"/>
        <v>1284.7</v>
      </c>
      <c r="N83" s="71">
        <f t="shared" si="15"/>
        <v>3363089.0052356021</v>
      </c>
      <c r="O83" s="72">
        <f t="shared" si="18"/>
        <v>7.156116265125938</v>
      </c>
      <c r="P83" s="81">
        <f t="shared" si="19"/>
        <v>5.5702625244227737E-3</v>
      </c>
    </row>
    <row r="84" spans="1:16" ht="16" x14ac:dyDescent="0.4">
      <c r="A84" s="86" t="s">
        <v>94</v>
      </c>
      <c r="B84" s="73"/>
      <c r="C84" s="71">
        <v>1221</v>
      </c>
      <c r="D84" s="71">
        <v>1317</v>
      </c>
      <c r="E84" s="71">
        <v>1435</v>
      </c>
      <c r="F84" s="71">
        <v>1438</v>
      </c>
      <c r="G84" s="71">
        <v>1293</v>
      </c>
      <c r="H84" s="71">
        <v>1274</v>
      </c>
      <c r="I84" s="71">
        <v>1401</v>
      </c>
      <c r="J84" s="71">
        <v>1423</v>
      </c>
      <c r="K84" s="71">
        <v>1288</v>
      </c>
      <c r="L84" s="71">
        <v>1404</v>
      </c>
      <c r="M84" s="71">
        <f t="shared" si="14"/>
        <v>1349.4</v>
      </c>
      <c r="N84" s="71">
        <f t="shared" si="15"/>
        <v>3532460.7329842933</v>
      </c>
      <c r="O84" s="72">
        <f t="shared" si="18"/>
        <v>75.106857210244115</v>
      </c>
      <c r="P84" s="81">
        <f t="shared" si="19"/>
        <v>5.5659446576437017E-2</v>
      </c>
    </row>
    <row r="85" spans="1:16" ht="16" x14ac:dyDescent="0.4">
      <c r="A85" s="86" t="s">
        <v>95</v>
      </c>
      <c r="B85" s="73"/>
      <c r="C85" s="71">
        <v>1659</v>
      </c>
      <c r="D85" s="71">
        <v>1830</v>
      </c>
      <c r="E85" s="71">
        <v>1600</v>
      </c>
      <c r="F85" s="71">
        <v>1709</v>
      </c>
      <c r="G85" s="71">
        <v>1699</v>
      </c>
      <c r="H85" s="71">
        <v>1461</v>
      </c>
      <c r="I85" s="71">
        <v>1585</v>
      </c>
      <c r="J85" s="71">
        <v>1736</v>
      </c>
      <c r="K85" s="71">
        <v>1650</v>
      </c>
      <c r="L85" s="71">
        <v>1799</v>
      </c>
      <c r="M85" s="71">
        <f t="shared" si="14"/>
        <v>1672.8</v>
      </c>
      <c r="N85" s="71">
        <f t="shared" si="15"/>
        <v>4379057.5916230362</v>
      </c>
      <c r="O85" s="72">
        <f t="shared" si="18"/>
        <v>102.57075606623947</v>
      </c>
      <c r="P85" s="81">
        <f t="shared" si="19"/>
        <v>6.1316807787087202E-2</v>
      </c>
    </row>
    <row r="86" spans="1:16" ht="16" x14ac:dyDescent="0.4">
      <c r="A86" s="86" t="s">
        <v>96</v>
      </c>
      <c r="B86" s="73"/>
      <c r="C86" s="71">
        <v>1471</v>
      </c>
      <c r="D86" s="71">
        <v>1235</v>
      </c>
      <c r="E86" s="71">
        <v>1439</v>
      </c>
      <c r="F86" s="71">
        <v>1532</v>
      </c>
      <c r="G86" s="71">
        <v>1285</v>
      </c>
      <c r="H86" s="71">
        <v>1557</v>
      </c>
      <c r="I86" s="71">
        <v>1274</v>
      </c>
      <c r="J86" s="71">
        <v>1497</v>
      </c>
      <c r="K86" s="71">
        <v>1513</v>
      </c>
      <c r="L86" s="71"/>
      <c r="M86" s="71">
        <f t="shared" si="14"/>
        <v>1422.5555555555557</v>
      </c>
      <c r="N86" s="71">
        <f t="shared" si="15"/>
        <v>3723967.4229203025</v>
      </c>
      <c r="O86" s="72">
        <f t="shared" si="18"/>
        <v>116.69534039170462</v>
      </c>
      <c r="P86" s="81">
        <f t="shared" si="19"/>
        <v>8.2032184919576784E-2</v>
      </c>
    </row>
    <row r="87" spans="1:16" ht="16" x14ac:dyDescent="0.4">
      <c r="A87" s="86" t="s">
        <v>97</v>
      </c>
      <c r="B87" s="73"/>
      <c r="C87" s="71">
        <v>1548</v>
      </c>
      <c r="D87" s="71">
        <v>1435</v>
      </c>
      <c r="E87" s="71">
        <v>1453</v>
      </c>
      <c r="F87" s="71">
        <v>1366</v>
      </c>
      <c r="G87" s="71">
        <v>1544</v>
      </c>
      <c r="H87" s="71">
        <v>1350</v>
      </c>
      <c r="I87" s="71">
        <v>1478</v>
      </c>
      <c r="J87" s="71">
        <v>1439</v>
      </c>
      <c r="K87" s="71">
        <v>1485</v>
      </c>
      <c r="L87" s="71">
        <v>1502</v>
      </c>
      <c r="M87" s="71">
        <f t="shared" si="14"/>
        <v>1460</v>
      </c>
      <c r="N87" s="71">
        <f t="shared" si="15"/>
        <v>3821989.5287958113</v>
      </c>
      <c r="O87" s="72">
        <f t="shared" si="18"/>
        <v>62.89992050869381</v>
      </c>
      <c r="P87" s="81">
        <f t="shared" si="19"/>
        <v>4.3082137334721785E-2</v>
      </c>
    </row>
    <row r="88" spans="1:16" ht="16" x14ac:dyDescent="0.4">
      <c r="A88" s="86" t="s">
        <v>98</v>
      </c>
      <c r="B88" s="73"/>
      <c r="C88" s="71">
        <v>1323</v>
      </c>
      <c r="D88" s="71">
        <v>1110</v>
      </c>
      <c r="E88" s="71">
        <v>1150</v>
      </c>
      <c r="F88" s="71">
        <v>1381</v>
      </c>
      <c r="G88" s="71">
        <v>1378</v>
      </c>
      <c r="H88" s="71">
        <v>1320</v>
      </c>
      <c r="I88" s="71">
        <v>1421</v>
      </c>
      <c r="J88" s="71">
        <v>1187</v>
      </c>
      <c r="K88" s="71">
        <v>1402</v>
      </c>
      <c r="L88" s="71">
        <v>1357</v>
      </c>
      <c r="M88" s="71">
        <f t="shared" si="14"/>
        <v>1302.9000000000001</v>
      </c>
      <c r="N88" s="71">
        <f t="shared" si="15"/>
        <v>3410732.984293194</v>
      </c>
      <c r="O88" s="72">
        <f t="shared" si="18"/>
        <v>106.37335192612856</v>
      </c>
      <c r="P88" s="81">
        <f t="shared" si="19"/>
        <v>8.1643527458844539E-2</v>
      </c>
    </row>
    <row r="89" spans="1:16" ht="16" x14ac:dyDescent="0.4">
      <c r="A89" s="92" t="s">
        <v>99</v>
      </c>
      <c r="B89" s="93"/>
      <c r="C89" s="94">
        <v>1181</v>
      </c>
      <c r="D89" s="94">
        <v>1372</v>
      </c>
      <c r="E89" s="94">
        <v>1388</v>
      </c>
      <c r="F89" s="94">
        <v>1328</v>
      </c>
      <c r="G89" s="94">
        <v>1316</v>
      </c>
      <c r="H89" s="94">
        <v>1144</v>
      </c>
      <c r="I89" s="94">
        <v>1172</v>
      </c>
      <c r="J89" s="94">
        <v>1397</v>
      </c>
      <c r="K89" s="94">
        <v>1148</v>
      </c>
      <c r="L89" s="94">
        <v>1300</v>
      </c>
      <c r="M89" s="94">
        <f t="shared" si="14"/>
        <v>1274.5999999999999</v>
      </c>
      <c r="N89" s="94">
        <f t="shared" si="15"/>
        <v>3336649.2146596853</v>
      </c>
      <c r="O89" s="95">
        <f t="shared" si="18"/>
        <v>97.421968775015017</v>
      </c>
      <c r="P89" s="96">
        <f t="shared" si="19"/>
        <v>7.6433366369853303E-2</v>
      </c>
    </row>
  </sheetData>
  <conditionalFormatting sqref="O67">
    <cfRule type="cellIs" dxfId="1" priority="2" operator="lessThan">
      <formula>0.15</formula>
    </cfRule>
  </conditionalFormatting>
  <conditionalFormatting sqref="P1 P3:P12 P14:P23 P25:P34 P36:P45 P47:P56 P58:P67 P69:P78 P80:P89">
    <cfRule type="cellIs" dxfId="0" priority="1" operator="less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C673-2696-4A51-8179-B8B310178B9B}">
  <dimension ref="A1:Z91"/>
  <sheetViews>
    <sheetView tabSelected="1" topLeftCell="A67" zoomScale="102" workbookViewId="0">
      <selection activeCell="K81" sqref="K81"/>
    </sheetView>
  </sheetViews>
  <sheetFormatPr defaultRowHeight="14.5" x14ac:dyDescent="0.35"/>
  <sheetData>
    <row r="1" spans="1:26" ht="58" x14ac:dyDescent="0.35">
      <c r="A1" s="61" t="s">
        <v>0</v>
      </c>
      <c r="B1" s="1" t="s">
        <v>100</v>
      </c>
      <c r="C1" s="37" t="s">
        <v>123</v>
      </c>
      <c r="D1" s="37" t="s">
        <v>124</v>
      </c>
      <c r="E1" t="s">
        <v>101</v>
      </c>
      <c r="F1" s="2" t="s">
        <v>102</v>
      </c>
      <c r="G1" s="3" t="s">
        <v>103</v>
      </c>
      <c r="H1" s="4" t="s">
        <v>104</v>
      </c>
      <c r="I1" s="2" t="s">
        <v>105</v>
      </c>
      <c r="J1" s="3" t="s">
        <v>106</v>
      </c>
      <c r="K1" s="4" t="s">
        <v>107</v>
      </c>
      <c r="L1" s="2" t="s">
        <v>108</v>
      </c>
      <c r="M1" s="3" t="s">
        <v>109</v>
      </c>
      <c r="N1" s="4" t="s">
        <v>110</v>
      </c>
      <c r="O1" s="2" t="s">
        <v>111</v>
      </c>
      <c r="P1" s="3" t="s">
        <v>112</v>
      </c>
      <c r="Q1" s="4" t="s">
        <v>113</v>
      </c>
      <c r="R1" s="2" t="s">
        <v>114</v>
      </c>
      <c r="S1" s="3" t="s">
        <v>115</v>
      </c>
      <c r="T1" s="4" t="s">
        <v>116</v>
      </c>
      <c r="U1" s="2" t="s">
        <v>117</v>
      </c>
      <c r="V1" s="3" t="s">
        <v>118</v>
      </c>
      <c r="W1" s="4" t="s">
        <v>119</v>
      </c>
      <c r="X1" s="2" t="s">
        <v>120</v>
      </c>
      <c r="Y1" s="3" t="s">
        <v>121</v>
      </c>
      <c r="Z1" s="4" t="s">
        <v>122</v>
      </c>
    </row>
    <row r="2" spans="1:26" ht="16" x14ac:dyDescent="0.4">
      <c r="A2" s="65" t="s">
        <v>16</v>
      </c>
      <c r="B2" s="6"/>
      <c r="C2" s="38"/>
      <c r="D2" s="38"/>
      <c r="F2" s="7"/>
      <c r="G2" s="8"/>
      <c r="H2" s="9"/>
      <c r="I2" s="10"/>
      <c r="J2" s="8"/>
      <c r="K2" s="9"/>
      <c r="L2" s="10"/>
      <c r="M2" s="8"/>
      <c r="N2" s="9"/>
      <c r="O2" s="10"/>
      <c r="P2" s="8"/>
      <c r="Q2" s="9"/>
      <c r="R2" s="10"/>
      <c r="S2" s="8"/>
      <c r="T2" s="9"/>
      <c r="U2" s="11"/>
      <c r="V2" s="8"/>
      <c r="W2" s="9"/>
      <c r="X2" s="11"/>
      <c r="Y2" s="8"/>
      <c r="Z2" s="9"/>
    </row>
    <row r="3" spans="1:26" x14ac:dyDescent="0.35">
      <c r="A3" t="s">
        <v>126</v>
      </c>
      <c r="B3" s="38">
        <f>AVERAGE(H3,K3,N3,Q3,T3,W3)</f>
        <v>0.5021435214687433</v>
      </c>
      <c r="D3" s="38"/>
      <c r="E3" s="107">
        <v>0.50251382600000005</v>
      </c>
      <c r="F3" s="10">
        <v>65</v>
      </c>
      <c r="G3" s="12">
        <v>126</v>
      </c>
      <c r="H3" s="9">
        <f>F3/G3</f>
        <v>0.51587301587301593</v>
      </c>
      <c r="I3" s="10">
        <v>374</v>
      </c>
      <c r="J3" s="12">
        <v>714</v>
      </c>
      <c r="K3" s="9">
        <f>I3/J3</f>
        <v>0.52380952380952384</v>
      </c>
      <c r="L3" s="10">
        <v>415</v>
      </c>
      <c r="M3" s="12">
        <v>819</v>
      </c>
      <c r="N3" s="9">
        <f>L3/M3</f>
        <v>0.50671550671550669</v>
      </c>
      <c r="O3" s="10">
        <v>443</v>
      </c>
      <c r="P3" s="12">
        <v>861</v>
      </c>
      <c r="Q3" s="9">
        <f>O3/P3</f>
        <v>0.51451800232288036</v>
      </c>
      <c r="R3" s="10">
        <v>231</v>
      </c>
      <c r="S3" s="12">
        <v>483</v>
      </c>
      <c r="T3" s="9">
        <f>R3/S3</f>
        <v>0.47826086956521741</v>
      </c>
      <c r="U3" s="13">
        <v>189</v>
      </c>
      <c r="V3" s="12">
        <v>399</v>
      </c>
      <c r="W3" s="9">
        <f>U3/V3</f>
        <v>0.47368421052631576</v>
      </c>
      <c r="X3" s="13"/>
      <c r="Y3" s="12"/>
      <c r="Z3" s="9"/>
    </row>
    <row r="4" spans="1:26" x14ac:dyDescent="0.35">
      <c r="A4" t="s">
        <v>17</v>
      </c>
      <c r="B4" s="38">
        <f>AVERAGE(H4,K4,N4,Q4,T4,W4)</f>
        <v>0.54481569088250847</v>
      </c>
      <c r="D4" s="38"/>
      <c r="E4" s="107">
        <v>0.54483395700000004</v>
      </c>
      <c r="F4" s="10">
        <v>247</v>
      </c>
      <c r="G4" s="12">
        <v>525</v>
      </c>
      <c r="H4" s="9">
        <f t="shared" ref="H4:H12" si="0">F4/G4</f>
        <v>0.47047619047619049</v>
      </c>
      <c r="I4" s="10">
        <v>421</v>
      </c>
      <c r="J4" s="12">
        <v>840</v>
      </c>
      <c r="K4" s="9">
        <f t="shared" ref="K4:K34" si="1">I4/J4</f>
        <v>0.50119047619047619</v>
      </c>
      <c r="L4" s="10">
        <v>777</v>
      </c>
      <c r="M4" s="12">
        <v>1491</v>
      </c>
      <c r="N4" s="9">
        <f t="shared" ref="N4:N11" si="2">L4/M4</f>
        <v>0.52112676056338025</v>
      </c>
      <c r="O4" s="10">
        <v>415</v>
      </c>
      <c r="P4" s="12">
        <v>672</v>
      </c>
      <c r="Q4" s="9">
        <f t="shared" ref="Q4:Q34" si="3">O4/P4</f>
        <v>0.61755952380952384</v>
      </c>
      <c r="R4" s="10">
        <v>588</v>
      </c>
      <c r="S4" s="12">
        <v>1008</v>
      </c>
      <c r="T4" s="9">
        <f t="shared" ref="T4:T34" si="4">R4/S4</f>
        <v>0.58333333333333337</v>
      </c>
      <c r="U4" s="13">
        <v>761</v>
      </c>
      <c r="V4" s="12">
        <v>1323</v>
      </c>
      <c r="W4" s="9">
        <f t="shared" ref="W4:W34" si="5">U4/V4</f>
        <v>0.5752078609221466</v>
      </c>
      <c r="X4" s="13"/>
      <c r="Y4" s="12"/>
      <c r="Z4" s="9"/>
    </row>
    <row r="5" spans="1:26" x14ac:dyDescent="0.35">
      <c r="A5" t="s">
        <v>18</v>
      </c>
      <c r="B5" s="38">
        <f t="shared" ref="B5:B68" si="6">AVERAGE(H5,K5,N5,Q5,T5,W5)</f>
        <v>0.5751996186910262</v>
      </c>
      <c r="D5" s="38"/>
      <c r="E5" s="107">
        <v>0.57519961900000005</v>
      </c>
      <c r="F5" s="10">
        <v>168</v>
      </c>
      <c r="G5" s="12">
        <v>273</v>
      </c>
      <c r="H5" s="9">
        <f t="shared" si="0"/>
        <v>0.61538461538461542</v>
      </c>
      <c r="I5" s="14">
        <v>189</v>
      </c>
      <c r="J5" s="12">
        <v>336</v>
      </c>
      <c r="K5" s="9">
        <f t="shared" si="1"/>
        <v>0.5625</v>
      </c>
      <c r="L5" s="14">
        <v>441</v>
      </c>
      <c r="M5" s="12">
        <v>1113</v>
      </c>
      <c r="N5" s="9">
        <f t="shared" si="2"/>
        <v>0.39622641509433965</v>
      </c>
      <c r="O5" s="14">
        <v>1218</v>
      </c>
      <c r="P5" s="12">
        <v>1890</v>
      </c>
      <c r="Q5" s="9">
        <f t="shared" si="3"/>
        <v>0.64444444444444449</v>
      </c>
      <c r="R5" s="14">
        <v>777</v>
      </c>
      <c r="S5" s="12">
        <v>1428</v>
      </c>
      <c r="T5" s="9">
        <f t="shared" si="4"/>
        <v>0.54411764705882348</v>
      </c>
      <c r="U5" s="15">
        <v>882</v>
      </c>
      <c r="V5" s="12">
        <v>1281</v>
      </c>
      <c r="W5" s="9">
        <f t="shared" si="5"/>
        <v>0.68852459016393441</v>
      </c>
      <c r="X5" s="13"/>
      <c r="Y5" s="12"/>
      <c r="Z5" s="9"/>
    </row>
    <row r="6" spans="1:26" x14ac:dyDescent="0.35">
      <c r="A6" t="s">
        <v>127</v>
      </c>
      <c r="B6" s="38">
        <f t="shared" si="6"/>
        <v>0.56604197257295785</v>
      </c>
      <c r="D6" s="38"/>
      <c r="E6" s="107">
        <v>0.56604197300000003</v>
      </c>
      <c r="F6" s="14">
        <v>1512</v>
      </c>
      <c r="G6" s="12">
        <v>2394</v>
      </c>
      <c r="H6" s="9">
        <f t="shared" si="0"/>
        <v>0.63157894736842102</v>
      </c>
      <c r="I6" s="14">
        <v>1460.76</v>
      </c>
      <c r="J6" s="12">
        <v>3108</v>
      </c>
      <c r="K6" s="9">
        <f t="shared" si="1"/>
        <v>0.47</v>
      </c>
      <c r="L6" s="14">
        <v>903</v>
      </c>
      <c r="M6" s="12">
        <v>3318</v>
      </c>
      <c r="N6" s="9">
        <f t="shared" si="2"/>
        <v>0.27215189873417722</v>
      </c>
      <c r="O6" s="10">
        <v>2730</v>
      </c>
      <c r="P6" s="12">
        <v>4200</v>
      </c>
      <c r="Q6" s="9">
        <f t="shared" si="3"/>
        <v>0.65</v>
      </c>
      <c r="R6" s="10">
        <v>3423</v>
      </c>
      <c r="S6" s="12">
        <v>4746</v>
      </c>
      <c r="T6" s="9">
        <f t="shared" si="4"/>
        <v>0.72123893805309736</v>
      </c>
      <c r="U6" s="13">
        <v>2667</v>
      </c>
      <c r="V6" s="12">
        <v>4095</v>
      </c>
      <c r="W6" s="9">
        <f t="shared" si="5"/>
        <v>0.6512820512820513</v>
      </c>
      <c r="X6" s="13"/>
      <c r="Y6" s="12"/>
      <c r="Z6" s="9"/>
    </row>
    <row r="7" spans="1:26" x14ac:dyDescent="0.35">
      <c r="A7" t="s">
        <v>128</v>
      </c>
      <c r="B7" s="38">
        <f t="shared" si="6"/>
        <v>0.5294586432456998</v>
      </c>
      <c r="D7" s="38"/>
      <c r="E7" s="107">
        <v>0.52945864300000001</v>
      </c>
      <c r="F7" s="10">
        <v>4284</v>
      </c>
      <c r="G7" s="12">
        <v>6930</v>
      </c>
      <c r="H7" s="9">
        <f t="shared" si="0"/>
        <v>0.61818181818181817</v>
      </c>
      <c r="I7" s="10">
        <v>882</v>
      </c>
      <c r="J7" s="12">
        <v>6048</v>
      </c>
      <c r="K7" s="9">
        <f t="shared" si="1"/>
        <v>0.14583333333333334</v>
      </c>
      <c r="L7" s="10">
        <v>3990</v>
      </c>
      <c r="M7" s="12">
        <v>6993</v>
      </c>
      <c r="N7" s="9">
        <f t="shared" si="2"/>
        <v>0.57057057057057059</v>
      </c>
      <c r="O7" s="10">
        <v>4830</v>
      </c>
      <c r="P7" s="12">
        <v>7665</v>
      </c>
      <c r="Q7" s="9">
        <f t="shared" si="3"/>
        <v>0.63013698630136983</v>
      </c>
      <c r="R7" s="10">
        <v>6342</v>
      </c>
      <c r="S7" s="12">
        <v>10458</v>
      </c>
      <c r="T7" s="9">
        <f t="shared" si="4"/>
        <v>0.60642570281124497</v>
      </c>
      <c r="U7" s="13">
        <v>5901</v>
      </c>
      <c r="V7" s="12">
        <v>9744</v>
      </c>
      <c r="W7" s="9">
        <f t="shared" si="5"/>
        <v>0.6056034482758621</v>
      </c>
      <c r="X7" s="13"/>
      <c r="Y7" s="12"/>
      <c r="Z7" s="9"/>
    </row>
    <row r="8" spans="1:26" x14ac:dyDescent="0.35">
      <c r="A8" t="s">
        <v>19</v>
      </c>
      <c r="B8" s="38">
        <f t="shared" si="6"/>
        <v>0.5319488697178798</v>
      </c>
      <c r="D8" s="39"/>
      <c r="E8" s="107">
        <v>0.53194887000000002</v>
      </c>
      <c r="F8" s="16">
        <v>105</v>
      </c>
      <c r="G8" s="17">
        <v>210</v>
      </c>
      <c r="H8" s="18">
        <f t="shared" si="0"/>
        <v>0.5</v>
      </c>
      <c r="I8" s="16">
        <v>210</v>
      </c>
      <c r="J8" s="17">
        <v>357</v>
      </c>
      <c r="K8" s="18">
        <f t="shared" si="1"/>
        <v>0.58823529411764708</v>
      </c>
      <c r="L8" s="16">
        <v>399</v>
      </c>
      <c r="M8" s="17">
        <v>861</v>
      </c>
      <c r="N8" s="18">
        <f t="shared" si="2"/>
        <v>0.46341463414634149</v>
      </c>
      <c r="O8" s="16">
        <v>483</v>
      </c>
      <c r="P8" s="17">
        <v>882</v>
      </c>
      <c r="Q8" s="18">
        <f t="shared" si="3"/>
        <v>0.54761904761904767</v>
      </c>
      <c r="R8" s="16">
        <v>273</v>
      </c>
      <c r="S8" s="17">
        <v>630</v>
      </c>
      <c r="T8" s="18">
        <f t="shared" si="4"/>
        <v>0.43333333333333335</v>
      </c>
      <c r="U8" s="19">
        <v>609</v>
      </c>
      <c r="V8" s="17">
        <v>924</v>
      </c>
      <c r="W8" s="18">
        <f t="shared" si="5"/>
        <v>0.65909090909090906</v>
      </c>
    </row>
    <row r="9" spans="1:26" x14ac:dyDescent="0.35">
      <c r="A9" t="s">
        <v>20</v>
      </c>
      <c r="B9" s="38">
        <f t="shared" si="6"/>
        <v>0.50510102653075983</v>
      </c>
      <c r="D9" s="39"/>
      <c r="E9" s="107">
        <v>0.50510102700000004</v>
      </c>
      <c r="F9" s="16">
        <v>210</v>
      </c>
      <c r="G9" s="17">
        <v>420</v>
      </c>
      <c r="H9" s="18">
        <f t="shared" si="0"/>
        <v>0.5</v>
      </c>
      <c r="I9" s="16">
        <v>189</v>
      </c>
      <c r="J9" s="17">
        <v>504</v>
      </c>
      <c r="K9" s="18">
        <f t="shared" si="1"/>
        <v>0.375</v>
      </c>
      <c r="L9" s="16">
        <v>525</v>
      </c>
      <c r="M9" s="17">
        <v>1113</v>
      </c>
      <c r="N9" s="18">
        <f t="shared" si="2"/>
        <v>0.47169811320754718</v>
      </c>
      <c r="O9" s="16">
        <v>273</v>
      </c>
      <c r="P9" s="17">
        <v>378</v>
      </c>
      <c r="Q9" s="18">
        <f t="shared" si="3"/>
        <v>0.72222222222222221</v>
      </c>
      <c r="R9" s="16">
        <v>336</v>
      </c>
      <c r="S9" s="17">
        <v>756</v>
      </c>
      <c r="T9" s="18">
        <f t="shared" si="4"/>
        <v>0.44444444444444442</v>
      </c>
      <c r="U9" s="19">
        <v>315</v>
      </c>
      <c r="V9" s="17">
        <v>609</v>
      </c>
      <c r="W9" s="18">
        <f t="shared" si="5"/>
        <v>0.51724137931034486</v>
      </c>
    </row>
    <row r="10" spans="1:26" x14ac:dyDescent="0.35">
      <c r="A10" t="s">
        <v>21</v>
      </c>
      <c r="B10" s="38">
        <f t="shared" si="6"/>
        <v>0.54215325800537906</v>
      </c>
      <c r="D10" s="39"/>
      <c r="E10" s="107">
        <v>0.54215325800000003</v>
      </c>
      <c r="F10" s="16">
        <v>2037</v>
      </c>
      <c r="G10" s="17">
        <v>3444</v>
      </c>
      <c r="H10" s="18">
        <f t="shared" si="0"/>
        <v>0.59146341463414631</v>
      </c>
      <c r="I10" s="16">
        <v>1344</v>
      </c>
      <c r="J10" s="17">
        <v>2310</v>
      </c>
      <c r="K10" s="18">
        <f t="shared" si="1"/>
        <v>0.58181818181818179</v>
      </c>
      <c r="L10" s="16">
        <v>1176</v>
      </c>
      <c r="M10" s="17">
        <v>2142</v>
      </c>
      <c r="N10" s="18">
        <f t="shared" si="2"/>
        <v>0.5490196078431373</v>
      </c>
      <c r="O10" s="16">
        <v>840</v>
      </c>
      <c r="P10" s="17">
        <v>1827</v>
      </c>
      <c r="Q10" s="18">
        <f t="shared" si="3"/>
        <v>0.45977011494252873</v>
      </c>
      <c r="R10" s="16">
        <v>2058</v>
      </c>
      <c r="S10" s="17">
        <v>3801</v>
      </c>
      <c r="T10" s="18">
        <f t="shared" si="4"/>
        <v>0.54143646408839774</v>
      </c>
      <c r="U10" s="19">
        <v>1323</v>
      </c>
      <c r="V10">
        <v>2499</v>
      </c>
      <c r="W10" s="18">
        <f t="shared" si="5"/>
        <v>0.52941176470588236</v>
      </c>
    </row>
    <row r="11" spans="1:26" x14ac:dyDescent="0.35">
      <c r="A11" t="s">
        <v>22</v>
      </c>
      <c r="B11" s="38">
        <f t="shared" si="6"/>
        <v>0.58236075615517058</v>
      </c>
      <c r="D11" s="39"/>
      <c r="E11" s="107">
        <v>0.58236075600000003</v>
      </c>
      <c r="F11">
        <v>1218</v>
      </c>
      <c r="G11">
        <v>2142</v>
      </c>
      <c r="H11" s="18">
        <f t="shared" si="0"/>
        <v>0.56862745098039214</v>
      </c>
      <c r="I11" s="16">
        <v>798</v>
      </c>
      <c r="J11" s="17">
        <v>1449</v>
      </c>
      <c r="K11" s="18">
        <f t="shared" si="1"/>
        <v>0.55072463768115942</v>
      </c>
      <c r="L11" s="16">
        <v>1113</v>
      </c>
      <c r="M11" s="17">
        <v>2079</v>
      </c>
      <c r="N11" s="18">
        <f t="shared" si="2"/>
        <v>0.53535353535353536</v>
      </c>
      <c r="O11" s="16">
        <v>966</v>
      </c>
      <c r="P11" s="17">
        <v>1911</v>
      </c>
      <c r="Q11" s="18">
        <f t="shared" si="3"/>
        <v>0.50549450549450547</v>
      </c>
      <c r="R11">
        <v>1764</v>
      </c>
      <c r="S11">
        <v>2394</v>
      </c>
      <c r="T11" s="18">
        <f t="shared" si="4"/>
        <v>0.73684210526315785</v>
      </c>
      <c r="U11">
        <v>1743</v>
      </c>
      <c r="V11">
        <v>2919</v>
      </c>
      <c r="W11" s="18">
        <f t="shared" si="5"/>
        <v>0.59712230215827333</v>
      </c>
    </row>
    <row r="12" spans="1:26" x14ac:dyDescent="0.35">
      <c r="A12" t="s">
        <v>23</v>
      </c>
      <c r="B12" s="38">
        <f t="shared" si="6"/>
        <v>0.51740045053998551</v>
      </c>
      <c r="D12" s="39"/>
      <c r="E12" s="107">
        <v>0.51740045099999998</v>
      </c>
      <c r="F12">
        <v>588</v>
      </c>
      <c r="G12" s="20">
        <v>1008</v>
      </c>
      <c r="H12" s="18">
        <f t="shared" si="0"/>
        <v>0.58333333333333337</v>
      </c>
      <c r="I12" s="16">
        <v>63</v>
      </c>
      <c r="J12" s="17">
        <v>126</v>
      </c>
      <c r="K12" s="18">
        <f t="shared" si="1"/>
        <v>0.5</v>
      </c>
      <c r="L12" s="16">
        <v>252</v>
      </c>
      <c r="M12" s="17">
        <v>546</v>
      </c>
      <c r="N12" s="18">
        <f>L12/M12</f>
        <v>0.46153846153846156</v>
      </c>
      <c r="O12" s="16">
        <v>168</v>
      </c>
      <c r="P12" s="17">
        <v>378</v>
      </c>
      <c r="Q12" s="18">
        <f t="shared" si="3"/>
        <v>0.44444444444444442</v>
      </c>
      <c r="R12" s="21">
        <v>567</v>
      </c>
      <c r="S12" s="20">
        <v>903</v>
      </c>
      <c r="T12" s="18">
        <f t="shared" si="4"/>
        <v>0.62790697674418605</v>
      </c>
      <c r="U12">
        <v>399</v>
      </c>
      <c r="V12" s="20">
        <v>819</v>
      </c>
      <c r="W12" s="18">
        <f t="shared" si="5"/>
        <v>0.48717948717948717</v>
      </c>
    </row>
    <row r="13" spans="1:26" ht="16" x14ac:dyDescent="0.4">
      <c r="A13" s="82" t="s">
        <v>24</v>
      </c>
      <c r="B13" s="38"/>
      <c r="D13" s="38"/>
      <c r="F13" s="10"/>
      <c r="G13" s="12"/>
      <c r="H13" s="9"/>
      <c r="I13" s="10"/>
      <c r="J13" s="12"/>
      <c r="K13" s="9"/>
      <c r="L13" s="10"/>
      <c r="M13" s="12"/>
      <c r="N13" s="9"/>
      <c r="O13" s="10"/>
      <c r="P13" s="12"/>
      <c r="Q13" s="9"/>
      <c r="R13" s="10"/>
      <c r="S13" s="12"/>
      <c r="T13" s="9"/>
      <c r="U13" s="13"/>
      <c r="V13" s="12"/>
      <c r="W13" s="9"/>
      <c r="X13" s="13"/>
      <c r="Y13" s="9"/>
    </row>
    <row r="14" spans="1:26" ht="16" x14ac:dyDescent="0.4">
      <c r="A14" s="84" t="s">
        <v>25</v>
      </c>
      <c r="B14" s="38">
        <f t="shared" si="6"/>
        <v>0.52414274888699441</v>
      </c>
      <c r="D14" s="38"/>
      <c r="E14" s="107">
        <v>0.52414274900000002</v>
      </c>
      <c r="F14" s="16">
        <v>147</v>
      </c>
      <c r="G14" s="17">
        <v>357</v>
      </c>
      <c r="H14" s="18">
        <f t="shared" ref="H14:H46" si="7">F14/G14</f>
        <v>0.41176470588235292</v>
      </c>
      <c r="I14" s="16">
        <v>105</v>
      </c>
      <c r="J14" s="17">
        <v>210</v>
      </c>
      <c r="K14" s="18">
        <f t="shared" si="1"/>
        <v>0.5</v>
      </c>
      <c r="L14" s="16">
        <v>378</v>
      </c>
      <c r="M14" s="17">
        <v>483</v>
      </c>
      <c r="N14" s="18">
        <f t="shared" ref="N14:N34" si="8">L14/M14</f>
        <v>0.78260869565217395</v>
      </c>
      <c r="O14" s="16">
        <v>210</v>
      </c>
      <c r="P14" s="17">
        <v>504</v>
      </c>
      <c r="Q14" s="18">
        <f t="shared" si="3"/>
        <v>0.41666666666666669</v>
      </c>
      <c r="R14" s="16">
        <v>525</v>
      </c>
      <c r="S14" s="17">
        <v>945</v>
      </c>
      <c r="T14" s="18">
        <f t="shared" si="4"/>
        <v>0.55555555555555558</v>
      </c>
      <c r="U14" s="19">
        <v>231</v>
      </c>
      <c r="V14" s="17">
        <v>483</v>
      </c>
      <c r="W14" s="18">
        <f t="shared" si="5"/>
        <v>0.47826086956521741</v>
      </c>
      <c r="X14" s="13"/>
      <c r="Y14" s="9"/>
    </row>
    <row r="15" spans="1:26" ht="16" x14ac:dyDescent="0.4">
      <c r="A15" s="84" t="s">
        <v>26</v>
      </c>
      <c r="B15" s="38">
        <f t="shared" si="6"/>
        <v>0.54227513227513224</v>
      </c>
      <c r="D15" s="38"/>
      <c r="E15" s="107">
        <v>0.52227513199999998</v>
      </c>
      <c r="F15" s="10">
        <v>105</v>
      </c>
      <c r="G15" s="12">
        <v>210</v>
      </c>
      <c r="H15" s="9">
        <f t="shared" si="7"/>
        <v>0.5</v>
      </c>
      <c r="I15" s="10">
        <v>168</v>
      </c>
      <c r="J15" s="12">
        <v>294</v>
      </c>
      <c r="K15" s="9">
        <f t="shared" si="1"/>
        <v>0.5714285714285714</v>
      </c>
      <c r="L15" s="10">
        <v>336</v>
      </c>
      <c r="M15" s="12">
        <v>378</v>
      </c>
      <c r="N15" s="9">
        <f t="shared" si="8"/>
        <v>0.88888888888888884</v>
      </c>
      <c r="O15" s="10">
        <v>294</v>
      </c>
      <c r="P15" s="12">
        <v>525</v>
      </c>
      <c r="Q15" s="9">
        <f t="shared" si="3"/>
        <v>0.56000000000000005</v>
      </c>
      <c r="R15" s="16">
        <v>126</v>
      </c>
      <c r="S15" s="12">
        <v>315</v>
      </c>
      <c r="T15" s="9">
        <f t="shared" si="4"/>
        <v>0.4</v>
      </c>
      <c r="U15" s="13">
        <v>273</v>
      </c>
      <c r="V15" s="12">
        <v>819</v>
      </c>
      <c r="W15" s="9">
        <f t="shared" si="5"/>
        <v>0.33333333333333331</v>
      </c>
      <c r="X15" s="13"/>
      <c r="Y15" s="9"/>
    </row>
    <row r="16" spans="1:26" ht="16" x14ac:dyDescent="0.4">
      <c r="A16" s="84" t="s">
        <v>27</v>
      </c>
      <c r="B16" s="38">
        <f t="shared" si="6"/>
        <v>0.64925509273335358</v>
      </c>
      <c r="D16" s="38"/>
      <c r="E16" s="107">
        <v>0.64925509299999995</v>
      </c>
      <c r="F16" s="10">
        <v>210</v>
      </c>
      <c r="G16" s="12">
        <v>273</v>
      </c>
      <c r="H16" s="9">
        <f t="shared" si="7"/>
        <v>0.76923076923076927</v>
      </c>
      <c r="I16" s="16">
        <v>378</v>
      </c>
      <c r="J16" s="17">
        <v>546</v>
      </c>
      <c r="K16" s="18">
        <f t="shared" si="1"/>
        <v>0.69230769230769229</v>
      </c>
      <c r="L16" s="10">
        <v>441</v>
      </c>
      <c r="M16" s="12">
        <v>693</v>
      </c>
      <c r="N16" s="9">
        <f t="shared" si="8"/>
        <v>0.63636363636363635</v>
      </c>
      <c r="O16" s="10">
        <v>315</v>
      </c>
      <c r="P16" s="12">
        <v>525</v>
      </c>
      <c r="Q16" s="9">
        <f t="shared" si="3"/>
        <v>0.6</v>
      </c>
      <c r="R16" s="10">
        <v>378</v>
      </c>
      <c r="S16" s="12">
        <v>693</v>
      </c>
      <c r="T16" s="9">
        <f t="shared" si="4"/>
        <v>0.54545454545454541</v>
      </c>
      <c r="U16" s="13">
        <v>315</v>
      </c>
      <c r="V16" s="12">
        <v>483</v>
      </c>
      <c r="W16" s="9">
        <f t="shared" si="5"/>
        <v>0.65217391304347827</v>
      </c>
      <c r="X16" s="13"/>
      <c r="Y16" s="9"/>
    </row>
    <row r="17" spans="1:25" ht="16" x14ac:dyDescent="0.4">
      <c r="A17" s="84" t="s">
        <v>28</v>
      </c>
      <c r="B17" s="38">
        <f t="shared" si="6"/>
        <v>0.50649667097035511</v>
      </c>
      <c r="D17" s="38"/>
      <c r="E17" s="107">
        <v>0.50624270299999996</v>
      </c>
      <c r="F17" s="10">
        <v>213</v>
      </c>
      <c r="G17" s="12">
        <v>420</v>
      </c>
      <c r="H17" s="9">
        <f t="shared" si="7"/>
        <v>0.50714285714285712</v>
      </c>
      <c r="I17" s="10">
        <v>147</v>
      </c>
      <c r="J17" s="12">
        <v>378</v>
      </c>
      <c r="K17" s="9">
        <f t="shared" si="1"/>
        <v>0.3888888888888889</v>
      </c>
      <c r="L17" s="10">
        <v>189</v>
      </c>
      <c r="M17" s="12">
        <v>399</v>
      </c>
      <c r="N17" s="9">
        <f t="shared" si="8"/>
        <v>0.47368421052631576</v>
      </c>
      <c r="O17" s="10">
        <v>116</v>
      </c>
      <c r="P17" s="12">
        <v>210</v>
      </c>
      <c r="Q17" s="9">
        <f t="shared" si="3"/>
        <v>0.55238095238095242</v>
      </c>
      <c r="R17" s="10">
        <v>126</v>
      </c>
      <c r="S17" s="12">
        <v>231</v>
      </c>
      <c r="T17" s="9">
        <f t="shared" si="4"/>
        <v>0.54545454545454541</v>
      </c>
      <c r="U17" s="13">
        <v>168</v>
      </c>
      <c r="V17" s="12">
        <v>294</v>
      </c>
      <c r="W17" s="9">
        <f t="shared" si="5"/>
        <v>0.5714285714285714</v>
      </c>
      <c r="X17" s="13"/>
      <c r="Y17" s="9"/>
    </row>
    <row r="18" spans="1:25" ht="16" x14ac:dyDescent="0.4">
      <c r="A18" s="84" t="s">
        <v>29</v>
      </c>
      <c r="B18" s="38">
        <f t="shared" si="6"/>
        <v>0.52423439986791076</v>
      </c>
      <c r="D18" s="38"/>
      <c r="E18" s="107">
        <v>0.52423439999999999</v>
      </c>
      <c r="F18">
        <v>966</v>
      </c>
      <c r="G18" s="17">
        <v>1659</v>
      </c>
      <c r="H18" s="9">
        <f t="shared" si="7"/>
        <v>0.58227848101265822</v>
      </c>
      <c r="I18">
        <v>1890</v>
      </c>
      <c r="J18">
        <v>4032</v>
      </c>
      <c r="K18" s="9">
        <f t="shared" si="1"/>
        <v>0.46875</v>
      </c>
      <c r="L18">
        <v>2751</v>
      </c>
      <c r="M18">
        <v>6405</v>
      </c>
      <c r="N18" s="9">
        <f t="shared" si="8"/>
        <v>0.42950819672131146</v>
      </c>
      <c r="O18">
        <v>1743</v>
      </c>
      <c r="P18">
        <v>3339</v>
      </c>
      <c r="Q18" s="9">
        <f t="shared" si="3"/>
        <v>0.5220125786163522</v>
      </c>
      <c r="R18">
        <v>1890</v>
      </c>
      <c r="S18">
        <v>2940</v>
      </c>
      <c r="T18" s="9">
        <f t="shared" si="4"/>
        <v>0.6428571428571429</v>
      </c>
      <c r="U18">
        <v>1239</v>
      </c>
      <c r="V18">
        <v>2478</v>
      </c>
      <c r="W18" s="9">
        <f t="shared" si="5"/>
        <v>0.5</v>
      </c>
    </row>
    <row r="19" spans="1:25" ht="16" x14ac:dyDescent="0.4">
      <c r="A19" s="84" t="s">
        <v>30</v>
      </c>
      <c r="B19" s="38">
        <f t="shared" si="6"/>
        <v>0.55540713327745561</v>
      </c>
      <c r="D19" s="38"/>
      <c r="E19" s="107">
        <v>0.55549783600000002</v>
      </c>
      <c r="F19" s="22">
        <v>357</v>
      </c>
      <c r="G19" s="17">
        <v>567</v>
      </c>
      <c r="H19" s="9">
        <f t="shared" si="7"/>
        <v>0.62962962962962965</v>
      </c>
      <c r="I19" s="21">
        <v>336</v>
      </c>
      <c r="J19" s="20">
        <v>609</v>
      </c>
      <c r="K19" s="9">
        <f t="shared" si="1"/>
        <v>0.55172413793103448</v>
      </c>
      <c r="L19" s="21">
        <v>210</v>
      </c>
      <c r="M19" s="20">
        <v>399</v>
      </c>
      <c r="N19" s="9">
        <f t="shared" si="8"/>
        <v>0.52631578947368418</v>
      </c>
      <c r="O19" s="21">
        <v>420</v>
      </c>
      <c r="P19" s="20">
        <v>756</v>
      </c>
      <c r="Q19" s="9">
        <f t="shared" si="3"/>
        <v>0.55555555555555558</v>
      </c>
      <c r="R19" s="21">
        <v>449</v>
      </c>
      <c r="S19" s="20">
        <v>735</v>
      </c>
      <c r="T19" s="9">
        <f t="shared" si="4"/>
        <v>0.61088435374149663</v>
      </c>
      <c r="U19">
        <v>693</v>
      </c>
      <c r="V19">
        <v>1512</v>
      </c>
      <c r="W19" s="9">
        <f t="shared" si="5"/>
        <v>0.45833333333333331</v>
      </c>
    </row>
    <row r="20" spans="1:25" ht="16" x14ac:dyDescent="0.4">
      <c r="A20" s="84" t="s">
        <v>31</v>
      </c>
      <c r="B20" s="38">
        <f t="shared" si="6"/>
        <v>0.52684434868766672</v>
      </c>
      <c r="D20" s="38"/>
      <c r="E20">
        <v>0.52906367799999998</v>
      </c>
      <c r="F20" s="22">
        <v>116</v>
      </c>
      <c r="G20" s="17">
        <v>210</v>
      </c>
      <c r="H20" s="9">
        <f t="shared" si="7"/>
        <v>0.55238095238095242</v>
      </c>
      <c r="I20" s="21">
        <v>519</v>
      </c>
      <c r="J20" s="20">
        <v>1050</v>
      </c>
      <c r="K20" s="9">
        <f t="shared" si="1"/>
        <v>0.49428571428571427</v>
      </c>
      <c r="L20" s="21">
        <v>107</v>
      </c>
      <c r="M20" s="20">
        <v>231</v>
      </c>
      <c r="N20" s="9">
        <f t="shared" si="8"/>
        <v>0.46320346320346323</v>
      </c>
      <c r="O20" s="21">
        <v>71</v>
      </c>
      <c r="P20" s="20">
        <v>147</v>
      </c>
      <c r="Q20" s="9">
        <f t="shared" si="3"/>
        <v>0.48299319727891155</v>
      </c>
      <c r="R20" s="21">
        <v>92</v>
      </c>
      <c r="S20" s="20">
        <v>168</v>
      </c>
      <c r="T20" s="9">
        <f t="shared" si="4"/>
        <v>0.54761904761904767</v>
      </c>
      <c r="U20">
        <v>404</v>
      </c>
      <c r="V20" s="20">
        <v>651</v>
      </c>
      <c r="W20" s="9">
        <f t="shared" si="5"/>
        <v>0.62058371735791096</v>
      </c>
    </row>
    <row r="21" spans="1:25" ht="16" x14ac:dyDescent="0.4">
      <c r="A21" s="84" t="s">
        <v>32</v>
      </c>
      <c r="B21" s="38">
        <f t="shared" si="6"/>
        <v>0.51590909090909098</v>
      </c>
      <c r="D21" s="38"/>
      <c r="E21" s="107">
        <v>0.51590909100000004</v>
      </c>
      <c r="F21" s="22">
        <v>103</v>
      </c>
      <c r="G21" s="17">
        <v>210</v>
      </c>
      <c r="H21" s="9">
        <f t="shared" si="7"/>
        <v>0.49047619047619045</v>
      </c>
      <c r="I21" s="21">
        <v>42</v>
      </c>
      <c r="J21" s="20">
        <v>84</v>
      </c>
      <c r="K21" s="9">
        <f t="shared" si="1"/>
        <v>0.5</v>
      </c>
      <c r="L21" s="21">
        <v>126</v>
      </c>
      <c r="M21" s="20">
        <v>231</v>
      </c>
      <c r="N21" s="9">
        <f t="shared" si="8"/>
        <v>0.54545454545454541</v>
      </c>
      <c r="O21" s="21">
        <v>139</v>
      </c>
      <c r="P21" s="20">
        <v>252</v>
      </c>
      <c r="Q21" s="9">
        <f t="shared" si="3"/>
        <v>0.55158730158730163</v>
      </c>
      <c r="R21" s="21">
        <v>64</v>
      </c>
      <c r="S21" s="20">
        <v>126</v>
      </c>
      <c r="T21" s="9">
        <f t="shared" si="4"/>
        <v>0.50793650793650791</v>
      </c>
      <c r="U21">
        <v>105</v>
      </c>
      <c r="V21" s="20">
        <v>210</v>
      </c>
      <c r="W21" s="9">
        <f t="shared" si="5"/>
        <v>0.5</v>
      </c>
    </row>
    <row r="22" spans="1:25" ht="16" x14ac:dyDescent="0.4">
      <c r="A22" s="84" t="s">
        <v>33</v>
      </c>
      <c r="B22" s="38">
        <f t="shared" si="6"/>
        <v>0.50661375661375663</v>
      </c>
      <c r="D22" s="38"/>
      <c r="E22" s="107">
        <v>0.506613757</v>
      </c>
      <c r="F22" s="22">
        <v>63</v>
      </c>
      <c r="G22" s="17">
        <v>126</v>
      </c>
      <c r="H22" s="9">
        <f t="shared" si="7"/>
        <v>0.5</v>
      </c>
      <c r="I22" s="21">
        <v>84</v>
      </c>
      <c r="J22" s="20">
        <v>168</v>
      </c>
      <c r="K22" s="9">
        <f t="shared" si="1"/>
        <v>0.5</v>
      </c>
      <c r="L22" s="21">
        <v>42</v>
      </c>
      <c r="M22" s="20">
        <v>63</v>
      </c>
      <c r="N22" s="9">
        <f t="shared" si="8"/>
        <v>0.66666666666666663</v>
      </c>
      <c r="O22" s="21">
        <v>42</v>
      </c>
      <c r="P22" s="20">
        <v>84</v>
      </c>
      <c r="Q22" s="9">
        <f t="shared" si="3"/>
        <v>0.5</v>
      </c>
      <c r="R22" s="21">
        <v>63</v>
      </c>
      <c r="S22" s="20">
        <v>147</v>
      </c>
      <c r="T22" s="9">
        <f t="shared" si="4"/>
        <v>0.42857142857142855</v>
      </c>
      <c r="U22">
        <v>84</v>
      </c>
      <c r="V22" s="20">
        <v>189</v>
      </c>
      <c r="W22" s="9">
        <f t="shared" si="5"/>
        <v>0.44444444444444442</v>
      </c>
    </row>
    <row r="23" spans="1:25" ht="16" x14ac:dyDescent="0.4">
      <c r="A23" s="84" t="s">
        <v>34</v>
      </c>
      <c r="B23" s="38">
        <f t="shared" si="6"/>
        <v>0.52710840907230005</v>
      </c>
      <c r="D23" s="38"/>
      <c r="E23" s="107">
        <v>0.527108409</v>
      </c>
      <c r="F23" s="22">
        <v>105</v>
      </c>
      <c r="G23" s="17">
        <v>147</v>
      </c>
      <c r="H23" s="9">
        <f t="shared" si="7"/>
        <v>0.7142857142857143</v>
      </c>
      <c r="I23" s="21">
        <v>294</v>
      </c>
      <c r="J23">
        <v>1239</v>
      </c>
      <c r="K23" s="9">
        <f t="shared" si="1"/>
        <v>0.23728813559322035</v>
      </c>
      <c r="L23" s="21">
        <v>147</v>
      </c>
      <c r="M23" s="20">
        <v>315</v>
      </c>
      <c r="N23" s="9">
        <f t="shared" si="8"/>
        <v>0.46666666666666667</v>
      </c>
      <c r="O23" s="21">
        <v>126</v>
      </c>
      <c r="P23" s="20">
        <v>210</v>
      </c>
      <c r="Q23" s="9">
        <f t="shared" si="3"/>
        <v>0.6</v>
      </c>
      <c r="R23" s="21">
        <v>315</v>
      </c>
      <c r="S23" s="20">
        <v>588</v>
      </c>
      <c r="T23" s="9">
        <f t="shared" si="4"/>
        <v>0.5357142857142857</v>
      </c>
      <c r="U23">
        <v>588</v>
      </c>
      <c r="V23">
        <v>966</v>
      </c>
      <c r="W23" s="9">
        <f t="shared" si="5"/>
        <v>0.60869565217391308</v>
      </c>
    </row>
    <row r="24" spans="1:25" ht="16" x14ac:dyDescent="0.4">
      <c r="A24" s="85" t="s">
        <v>35</v>
      </c>
      <c r="B24" s="38"/>
      <c r="D24" s="38"/>
      <c r="F24" s="23"/>
      <c r="G24" s="24"/>
      <c r="H24" s="9"/>
      <c r="I24" s="25"/>
      <c r="J24" s="24"/>
      <c r="K24" s="9"/>
      <c r="L24" s="25"/>
      <c r="M24" s="24"/>
      <c r="N24" s="9"/>
      <c r="O24" s="25"/>
      <c r="P24" s="24"/>
      <c r="Q24" s="9"/>
      <c r="R24" s="25"/>
      <c r="S24" s="24"/>
      <c r="T24" s="9"/>
      <c r="U24" s="26"/>
      <c r="V24" s="24"/>
      <c r="W24" s="9"/>
      <c r="X24" s="13"/>
      <c r="Y24" s="9"/>
    </row>
    <row r="25" spans="1:25" ht="16" x14ac:dyDescent="0.4">
      <c r="A25" s="86" t="s">
        <v>36</v>
      </c>
      <c r="B25" s="38">
        <f t="shared" si="6"/>
        <v>0.5262436456063907</v>
      </c>
      <c r="D25" s="38"/>
      <c r="E25" s="107">
        <v>0.52628160199999996</v>
      </c>
      <c r="F25" s="13">
        <v>273</v>
      </c>
      <c r="G25" s="27">
        <v>504</v>
      </c>
      <c r="H25" s="9">
        <f t="shared" si="7"/>
        <v>0.54166666666666663</v>
      </c>
      <c r="I25" s="13">
        <v>352</v>
      </c>
      <c r="J25" s="27">
        <v>756</v>
      </c>
      <c r="K25" s="9">
        <f t="shared" si="1"/>
        <v>0.46560846560846558</v>
      </c>
      <c r="L25" s="13">
        <v>425</v>
      </c>
      <c r="M25" s="27">
        <v>714</v>
      </c>
      <c r="N25" s="9">
        <f t="shared" si="8"/>
        <v>0.59523809523809523</v>
      </c>
      <c r="O25" s="13">
        <v>231</v>
      </c>
      <c r="P25" s="27">
        <v>441</v>
      </c>
      <c r="Q25" s="9">
        <f t="shared" si="3"/>
        <v>0.52380952380952384</v>
      </c>
      <c r="R25" s="13">
        <v>551</v>
      </c>
      <c r="S25" s="27">
        <v>1071</v>
      </c>
      <c r="T25" s="9">
        <f t="shared" si="4"/>
        <v>0.51447245564892619</v>
      </c>
      <c r="U25" s="13">
        <v>651</v>
      </c>
      <c r="V25" s="27">
        <v>1260</v>
      </c>
      <c r="W25" s="9">
        <f t="shared" si="5"/>
        <v>0.51666666666666672</v>
      </c>
      <c r="X25" s="13"/>
      <c r="Y25" s="9"/>
    </row>
    <row r="26" spans="1:25" ht="16" x14ac:dyDescent="0.4">
      <c r="A26" s="86" t="s">
        <v>37</v>
      </c>
      <c r="B26" s="38">
        <f t="shared" si="6"/>
        <v>0.64218930182938749</v>
      </c>
      <c r="D26" s="38"/>
      <c r="E26" s="107">
        <v>0.64220063800000005</v>
      </c>
      <c r="F26" s="13">
        <v>653</v>
      </c>
      <c r="G26" s="27">
        <v>1134</v>
      </c>
      <c r="H26" s="9">
        <f t="shared" si="7"/>
        <v>0.57583774250440922</v>
      </c>
      <c r="I26" s="13">
        <v>627</v>
      </c>
      <c r="J26" s="27">
        <v>1176</v>
      </c>
      <c r="K26" s="9">
        <f t="shared" si="1"/>
        <v>0.53316326530612246</v>
      </c>
      <c r="L26" s="13">
        <v>609</v>
      </c>
      <c r="M26" s="27">
        <v>987</v>
      </c>
      <c r="N26" s="9">
        <f t="shared" si="8"/>
        <v>0.61702127659574468</v>
      </c>
      <c r="O26" s="13">
        <v>693</v>
      </c>
      <c r="P26" s="27">
        <v>966</v>
      </c>
      <c r="Q26" s="9">
        <f t="shared" si="3"/>
        <v>0.71739130434782605</v>
      </c>
      <c r="R26" s="13">
        <v>483</v>
      </c>
      <c r="S26" s="27">
        <v>756</v>
      </c>
      <c r="T26" s="9">
        <f t="shared" si="4"/>
        <v>0.63888888888888884</v>
      </c>
      <c r="U26" s="13">
        <v>777</v>
      </c>
      <c r="V26" s="27">
        <v>1008</v>
      </c>
      <c r="W26" s="9">
        <f t="shared" si="5"/>
        <v>0.77083333333333337</v>
      </c>
      <c r="X26" s="13"/>
      <c r="Y26" s="9"/>
    </row>
    <row r="27" spans="1:25" ht="16" x14ac:dyDescent="0.4">
      <c r="A27" s="86" t="s">
        <v>38</v>
      </c>
      <c r="B27" s="38">
        <f t="shared" si="6"/>
        <v>0.54312284009105427</v>
      </c>
      <c r="D27" s="38"/>
      <c r="E27" s="107">
        <v>0.543237784</v>
      </c>
      <c r="F27" s="13">
        <v>273</v>
      </c>
      <c r="G27" s="27">
        <v>462</v>
      </c>
      <c r="H27" s="9">
        <f t="shared" si="7"/>
        <v>0.59090909090909094</v>
      </c>
      <c r="I27" s="13">
        <v>339</v>
      </c>
      <c r="J27" s="27">
        <v>609</v>
      </c>
      <c r="K27" s="9">
        <f t="shared" si="1"/>
        <v>0.55665024630541871</v>
      </c>
      <c r="L27" s="13">
        <v>594</v>
      </c>
      <c r="M27" s="27">
        <v>1071</v>
      </c>
      <c r="N27" s="9">
        <f t="shared" si="8"/>
        <v>0.55462184873949583</v>
      </c>
      <c r="O27" s="13">
        <v>525</v>
      </c>
      <c r="P27" s="27">
        <v>966</v>
      </c>
      <c r="Q27" s="9">
        <f t="shared" si="3"/>
        <v>0.54347826086956519</v>
      </c>
      <c r="R27" s="13">
        <v>756</v>
      </c>
      <c r="S27" s="27">
        <v>1302</v>
      </c>
      <c r="T27" s="9">
        <f t="shared" si="4"/>
        <v>0.58064516129032262</v>
      </c>
      <c r="U27" s="13">
        <v>672</v>
      </c>
      <c r="V27" s="27">
        <v>1554</v>
      </c>
      <c r="W27" s="9">
        <f t="shared" si="5"/>
        <v>0.43243243243243246</v>
      </c>
      <c r="X27" s="13"/>
      <c r="Y27" s="9"/>
    </row>
    <row r="28" spans="1:25" ht="16" x14ac:dyDescent="0.4">
      <c r="A28" s="86" t="s">
        <v>39</v>
      </c>
      <c r="B28" s="38">
        <f t="shared" si="6"/>
        <v>0.52212806429860692</v>
      </c>
      <c r="D28" s="38"/>
      <c r="E28" s="107">
        <v>0.52205447299999996</v>
      </c>
      <c r="F28" s="13">
        <v>459</v>
      </c>
      <c r="G28" s="27">
        <v>819</v>
      </c>
      <c r="H28" s="9">
        <f t="shared" si="7"/>
        <v>0.56043956043956045</v>
      </c>
      <c r="I28" s="13">
        <v>425</v>
      </c>
      <c r="J28" s="27">
        <v>756</v>
      </c>
      <c r="K28" s="9">
        <f t="shared" si="1"/>
        <v>0.56216931216931221</v>
      </c>
      <c r="L28" s="13">
        <v>241</v>
      </c>
      <c r="M28" s="27">
        <v>525</v>
      </c>
      <c r="N28" s="9">
        <f t="shared" si="8"/>
        <v>0.45904761904761904</v>
      </c>
      <c r="O28" s="13">
        <v>465</v>
      </c>
      <c r="P28" s="27">
        <v>924</v>
      </c>
      <c r="Q28" s="9">
        <f t="shared" si="3"/>
        <v>0.50324675324675328</v>
      </c>
      <c r="R28" s="13">
        <v>478</v>
      </c>
      <c r="S28" s="27">
        <v>903</v>
      </c>
      <c r="T28" s="9">
        <f t="shared" si="4"/>
        <v>0.52934662236987817</v>
      </c>
      <c r="U28" s="13">
        <v>588</v>
      </c>
      <c r="V28" s="27">
        <v>1134</v>
      </c>
      <c r="W28" s="9">
        <f t="shared" si="5"/>
        <v>0.51851851851851849</v>
      </c>
      <c r="X28" s="13"/>
      <c r="Y28" s="9"/>
    </row>
    <row r="29" spans="1:25" ht="16" x14ac:dyDescent="0.4">
      <c r="A29" s="86" t="s">
        <v>40</v>
      </c>
      <c r="B29" s="38">
        <f t="shared" si="6"/>
        <v>0.50598472239249126</v>
      </c>
      <c r="D29" s="38"/>
      <c r="E29" s="107">
        <v>0.505984722</v>
      </c>
      <c r="F29" s="19">
        <v>273</v>
      </c>
      <c r="G29" s="28">
        <v>504</v>
      </c>
      <c r="H29" s="9">
        <f t="shared" si="7"/>
        <v>0.54166666666666663</v>
      </c>
      <c r="I29">
        <v>609</v>
      </c>
      <c r="J29">
        <v>1197</v>
      </c>
      <c r="K29" s="9">
        <f t="shared" si="1"/>
        <v>0.50877192982456143</v>
      </c>
      <c r="L29" s="19">
        <v>399</v>
      </c>
      <c r="M29" s="28">
        <v>777</v>
      </c>
      <c r="N29" s="9">
        <f t="shared" si="8"/>
        <v>0.51351351351351349</v>
      </c>
      <c r="O29" s="19">
        <v>210</v>
      </c>
      <c r="P29" s="28">
        <v>357</v>
      </c>
      <c r="Q29" s="9">
        <f t="shared" si="3"/>
        <v>0.58823529411764708</v>
      </c>
      <c r="R29" s="19">
        <v>336</v>
      </c>
      <c r="S29" s="28">
        <v>672</v>
      </c>
      <c r="T29" s="9">
        <f t="shared" si="4"/>
        <v>0.5</v>
      </c>
      <c r="U29">
        <v>693</v>
      </c>
      <c r="V29">
        <v>1806</v>
      </c>
      <c r="W29" s="9">
        <f t="shared" si="5"/>
        <v>0.38372093023255816</v>
      </c>
    </row>
    <row r="30" spans="1:25" ht="16" x14ac:dyDescent="0.4">
      <c r="A30" s="86" t="s">
        <v>41</v>
      </c>
      <c r="B30" s="38">
        <f t="shared" si="6"/>
        <v>0.54683615576728928</v>
      </c>
      <c r="D30" s="38"/>
      <c r="E30" s="107">
        <v>0.54686325499999999</v>
      </c>
      <c r="F30" s="19">
        <v>218</v>
      </c>
      <c r="G30" s="28">
        <v>420</v>
      </c>
      <c r="H30" s="9">
        <f t="shared" si="7"/>
        <v>0.51904761904761909</v>
      </c>
      <c r="I30">
        <v>147</v>
      </c>
      <c r="J30" s="29">
        <v>273</v>
      </c>
      <c r="K30" s="9">
        <f t="shared" si="1"/>
        <v>0.53846153846153844</v>
      </c>
      <c r="L30" s="19">
        <v>189</v>
      </c>
      <c r="M30" s="28">
        <v>357</v>
      </c>
      <c r="N30" s="9">
        <f t="shared" si="8"/>
        <v>0.52941176470588236</v>
      </c>
      <c r="O30" s="19">
        <v>488</v>
      </c>
      <c r="P30" s="28">
        <v>840</v>
      </c>
      <c r="Q30" s="9">
        <f t="shared" si="3"/>
        <v>0.580952380952381</v>
      </c>
      <c r="R30" s="19">
        <v>266</v>
      </c>
      <c r="S30" s="28">
        <v>504</v>
      </c>
      <c r="T30" s="9">
        <f t="shared" si="4"/>
        <v>0.52777777777777779</v>
      </c>
      <c r="U30">
        <v>504</v>
      </c>
      <c r="V30" s="29">
        <v>861</v>
      </c>
      <c r="W30" s="9">
        <f t="shared" si="5"/>
        <v>0.58536585365853655</v>
      </c>
    </row>
    <row r="31" spans="1:25" ht="16" x14ac:dyDescent="0.4">
      <c r="A31" s="86" t="s">
        <v>42</v>
      </c>
      <c r="B31" s="38">
        <f t="shared" si="6"/>
        <v>0.48636948692992998</v>
      </c>
      <c r="D31" s="38"/>
      <c r="E31" s="107">
        <v>0.486344463</v>
      </c>
      <c r="F31" s="19">
        <v>499</v>
      </c>
      <c r="G31" s="28">
        <v>1050</v>
      </c>
      <c r="H31" s="9">
        <f t="shared" si="7"/>
        <v>0.47523809523809524</v>
      </c>
      <c r="I31">
        <v>276</v>
      </c>
      <c r="J31" s="29">
        <v>588</v>
      </c>
      <c r="K31" s="9">
        <f t="shared" si="1"/>
        <v>0.46938775510204084</v>
      </c>
      <c r="L31">
        <v>766</v>
      </c>
      <c r="M31">
        <v>1554</v>
      </c>
      <c r="N31" s="9">
        <f t="shared" si="8"/>
        <v>0.4929214929214929</v>
      </c>
      <c r="O31" s="19">
        <v>458</v>
      </c>
      <c r="P31" s="28">
        <v>903</v>
      </c>
      <c r="Q31" s="9">
        <f t="shared" si="3"/>
        <v>0.50719822812846072</v>
      </c>
      <c r="R31" s="19">
        <v>903</v>
      </c>
      <c r="S31" s="28">
        <v>1743</v>
      </c>
      <c r="T31" s="9">
        <f t="shared" si="4"/>
        <v>0.51807228915662651</v>
      </c>
      <c r="U31">
        <v>679</v>
      </c>
      <c r="V31" s="29">
        <v>1491</v>
      </c>
      <c r="W31" s="18">
        <f t="shared" si="5"/>
        <v>0.45539906103286387</v>
      </c>
    </row>
    <row r="32" spans="1:25" ht="16" x14ac:dyDescent="0.4">
      <c r="A32" s="86" t="s">
        <v>43</v>
      </c>
      <c r="B32" s="38">
        <f t="shared" si="6"/>
        <v>0.53735165019359554</v>
      </c>
      <c r="D32" s="38"/>
      <c r="E32" s="107">
        <v>0.53735164999999996</v>
      </c>
      <c r="F32" s="19">
        <v>210</v>
      </c>
      <c r="G32" s="28">
        <v>315</v>
      </c>
      <c r="H32" s="9">
        <f t="shared" si="7"/>
        <v>0.66666666666666663</v>
      </c>
      <c r="I32">
        <v>294</v>
      </c>
      <c r="J32" s="29">
        <v>504</v>
      </c>
      <c r="K32" s="9">
        <f t="shared" si="1"/>
        <v>0.58333333333333337</v>
      </c>
      <c r="L32">
        <v>399</v>
      </c>
      <c r="M32" s="29">
        <v>693</v>
      </c>
      <c r="N32" s="9">
        <f t="shared" si="8"/>
        <v>0.5757575757575758</v>
      </c>
      <c r="O32" s="19">
        <v>483</v>
      </c>
      <c r="P32" s="28">
        <v>987</v>
      </c>
      <c r="Q32" s="9">
        <f t="shared" si="3"/>
        <v>0.48936170212765956</v>
      </c>
      <c r="R32" s="19">
        <v>546</v>
      </c>
      <c r="S32" s="28">
        <v>1029</v>
      </c>
      <c r="T32" s="9">
        <f t="shared" si="4"/>
        <v>0.53061224489795922</v>
      </c>
      <c r="U32">
        <v>294</v>
      </c>
      <c r="V32" s="29">
        <v>777</v>
      </c>
      <c r="W32" s="18">
        <f t="shared" si="5"/>
        <v>0.3783783783783784</v>
      </c>
    </row>
    <row r="33" spans="1:26" ht="16" x14ac:dyDescent="0.4">
      <c r="A33" s="86" t="s">
        <v>44</v>
      </c>
      <c r="B33" s="38">
        <f t="shared" si="6"/>
        <v>0.52631533333333336</v>
      </c>
      <c r="D33" s="38"/>
      <c r="E33">
        <v>0.52631578899999998</v>
      </c>
      <c r="F33" s="19">
        <v>420</v>
      </c>
      <c r="G33" s="28">
        <v>798</v>
      </c>
      <c r="H33">
        <v>0.51231800000000005</v>
      </c>
      <c r="I33">
        <v>0</v>
      </c>
      <c r="J33">
        <v>0</v>
      </c>
      <c r="K33">
        <v>0.51641700000000001</v>
      </c>
      <c r="L33">
        <v>0</v>
      </c>
      <c r="M33">
        <v>0</v>
      </c>
      <c r="N33">
        <v>0.52154199999999995</v>
      </c>
      <c r="O33">
        <v>0</v>
      </c>
      <c r="P33">
        <v>0</v>
      </c>
      <c r="Q33">
        <v>0.53519799999999995</v>
      </c>
      <c r="R33">
        <v>0</v>
      </c>
      <c r="S33">
        <v>0</v>
      </c>
      <c r="T33">
        <v>0.540211</v>
      </c>
      <c r="U33">
        <v>0</v>
      </c>
      <c r="V33">
        <v>0</v>
      </c>
      <c r="W33">
        <v>0.53220599999999996</v>
      </c>
    </row>
    <row r="34" spans="1:26" ht="16" x14ac:dyDescent="0.4">
      <c r="A34" s="86" t="s">
        <v>45</v>
      </c>
      <c r="B34" s="38">
        <f t="shared" si="6"/>
        <v>0.5</v>
      </c>
      <c r="D34" s="38"/>
      <c r="E34">
        <v>0.5</v>
      </c>
      <c r="F34" s="19">
        <v>84</v>
      </c>
      <c r="G34" s="28">
        <v>168</v>
      </c>
      <c r="H34">
        <v>0.47630299999999998</v>
      </c>
      <c r="I34">
        <v>0</v>
      </c>
      <c r="J34">
        <v>0</v>
      </c>
      <c r="K34">
        <v>0.48439199999999999</v>
      </c>
      <c r="L34">
        <v>0</v>
      </c>
      <c r="M34">
        <v>0</v>
      </c>
      <c r="N34">
        <v>0.49981199999999998</v>
      </c>
      <c r="O34">
        <v>0</v>
      </c>
      <c r="P34">
        <v>0</v>
      </c>
      <c r="Q34">
        <v>0.51427</v>
      </c>
      <c r="R34">
        <v>0</v>
      </c>
      <c r="S34">
        <v>0</v>
      </c>
      <c r="T34">
        <v>0.52016899999999999</v>
      </c>
      <c r="U34">
        <v>0</v>
      </c>
      <c r="V34">
        <v>0</v>
      </c>
      <c r="W34">
        <v>0.505054</v>
      </c>
    </row>
    <row r="35" spans="1:26" ht="16" x14ac:dyDescent="0.4">
      <c r="A35" s="87" t="s">
        <v>46</v>
      </c>
      <c r="B35" s="38" t="e">
        <f t="shared" si="6"/>
        <v>#DIV/0!</v>
      </c>
      <c r="D35" s="38"/>
      <c r="F35" s="11"/>
      <c r="G35" s="30"/>
      <c r="H35" s="9"/>
      <c r="I35" s="11"/>
      <c r="J35" s="30"/>
      <c r="K35" s="9"/>
      <c r="L35" s="11"/>
      <c r="M35" s="30"/>
      <c r="N35" s="9"/>
      <c r="O35" s="11"/>
      <c r="P35" s="30"/>
      <c r="Q35" s="9"/>
      <c r="R35" s="11"/>
      <c r="S35" s="30"/>
      <c r="T35" s="9"/>
      <c r="U35" s="11"/>
      <c r="V35" s="30"/>
      <c r="W35" s="9"/>
      <c r="X35" s="11"/>
      <c r="Y35" s="9"/>
    </row>
    <row r="36" spans="1:26" ht="16" x14ac:dyDescent="0.4">
      <c r="A36" s="86" t="s">
        <v>47</v>
      </c>
      <c r="B36" s="38">
        <f t="shared" si="6"/>
        <v>0.51904253154253155</v>
      </c>
      <c r="D36" s="38"/>
      <c r="E36" s="109">
        <v>0.51785003799999996</v>
      </c>
      <c r="F36" s="11">
        <v>6</v>
      </c>
      <c r="G36" s="30">
        <v>14</v>
      </c>
      <c r="H36" s="9">
        <f t="shared" si="7"/>
        <v>0.42857142857142855</v>
      </c>
      <c r="I36" s="11">
        <v>9</v>
      </c>
      <c r="J36" s="30">
        <v>18</v>
      </c>
      <c r="K36" s="9">
        <f>I36/J36</f>
        <v>0.5</v>
      </c>
      <c r="L36" s="11">
        <v>7</v>
      </c>
      <c r="M36" s="30">
        <v>13</v>
      </c>
      <c r="N36" s="9">
        <f>L36/M36</f>
        <v>0.53846153846153844</v>
      </c>
      <c r="O36" s="11">
        <v>5</v>
      </c>
      <c r="P36" s="30">
        <v>8</v>
      </c>
      <c r="Q36" s="9">
        <f>O36/P36</f>
        <v>0.625</v>
      </c>
      <c r="R36" s="11">
        <v>5</v>
      </c>
      <c r="S36" s="30">
        <v>9</v>
      </c>
      <c r="T36" s="9">
        <f>R36/S36</f>
        <v>0.55555555555555558</v>
      </c>
      <c r="U36" s="11">
        <v>7</v>
      </c>
      <c r="V36" s="30">
        <v>15</v>
      </c>
      <c r="W36" s="9">
        <f>U36/V36</f>
        <v>0.46666666666666667</v>
      </c>
      <c r="X36" s="11"/>
      <c r="Y36" s="9"/>
    </row>
    <row r="37" spans="1:26" ht="16" x14ac:dyDescent="0.4">
      <c r="A37" s="86" t="s">
        <v>48</v>
      </c>
      <c r="B37" s="38">
        <f t="shared" si="6"/>
        <v>0.59689330277565567</v>
      </c>
      <c r="D37" s="38"/>
      <c r="E37" s="109">
        <v>0.59370910700000001</v>
      </c>
      <c r="F37" s="11">
        <v>12</v>
      </c>
      <c r="G37" s="30">
        <v>18</v>
      </c>
      <c r="H37" s="9">
        <f t="shared" si="7"/>
        <v>0.66666666666666663</v>
      </c>
      <c r="I37" s="11">
        <v>18</v>
      </c>
      <c r="J37" s="30">
        <v>28</v>
      </c>
      <c r="K37" s="9">
        <f>I37/J37</f>
        <v>0.6428571428571429</v>
      </c>
      <c r="L37" s="5">
        <v>18</v>
      </c>
      <c r="M37" s="31">
        <v>34</v>
      </c>
      <c r="N37" s="9">
        <f>L37/M37</f>
        <v>0.52941176470588236</v>
      </c>
      <c r="O37" s="11">
        <v>7</v>
      </c>
      <c r="P37" s="30">
        <v>11</v>
      </c>
      <c r="Q37" s="9">
        <f>O37/P37</f>
        <v>0.63636363636363635</v>
      </c>
      <c r="R37" s="11">
        <v>7</v>
      </c>
      <c r="S37" s="30">
        <v>14</v>
      </c>
      <c r="T37" s="9">
        <f>R37/S37</f>
        <v>0.5</v>
      </c>
      <c r="U37" s="5">
        <v>20</v>
      </c>
      <c r="V37" s="31">
        <v>33</v>
      </c>
      <c r="W37" s="9">
        <f>U37/V37</f>
        <v>0.60606060606060608</v>
      </c>
      <c r="X37" s="11"/>
      <c r="Y37" s="9"/>
      <c r="Z37" s="32"/>
    </row>
    <row r="38" spans="1:26" ht="16" x14ac:dyDescent="0.4">
      <c r="A38" s="86" t="s">
        <v>49</v>
      </c>
      <c r="B38" s="38">
        <f t="shared" si="6"/>
        <v>0.69478499489464396</v>
      </c>
      <c r="D38" s="38"/>
      <c r="E38" s="109">
        <v>0.69964809100000003</v>
      </c>
      <c r="F38" s="11">
        <v>10</v>
      </c>
      <c r="G38" s="30">
        <v>19</v>
      </c>
      <c r="H38" s="9">
        <f t="shared" si="7"/>
        <v>0.52631578947368418</v>
      </c>
      <c r="I38" s="11">
        <v>23</v>
      </c>
      <c r="J38" s="30">
        <v>35</v>
      </c>
      <c r="K38" s="9">
        <f>I38/J38</f>
        <v>0.65714285714285714</v>
      </c>
      <c r="L38" s="11">
        <v>19</v>
      </c>
      <c r="M38" s="30">
        <v>27</v>
      </c>
      <c r="N38" s="9">
        <f>L38/M38</f>
        <v>0.70370370370370372</v>
      </c>
      <c r="O38" s="11">
        <v>17</v>
      </c>
      <c r="P38" s="30">
        <v>20</v>
      </c>
      <c r="Q38" s="9">
        <f>O38/P38</f>
        <v>0.85</v>
      </c>
      <c r="R38" s="11">
        <v>13</v>
      </c>
      <c r="S38" s="30">
        <v>21</v>
      </c>
      <c r="T38" s="9">
        <f>R38/S38</f>
        <v>0.61904761904761907</v>
      </c>
      <c r="U38" s="11">
        <v>13</v>
      </c>
      <c r="V38" s="30">
        <v>16</v>
      </c>
      <c r="W38" s="9">
        <f>U38/V38</f>
        <v>0.8125</v>
      </c>
      <c r="X38" s="11"/>
      <c r="Y38" s="9"/>
      <c r="Z38" s="32"/>
    </row>
    <row r="39" spans="1:26" ht="16" x14ac:dyDescent="0.4">
      <c r="A39" s="86" t="s">
        <v>50</v>
      </c>
      <c r="B39" s="38">
        <f t="shared" si="6"/>
        <v>0.65748099939276405</v>
      </c>
      <c r="D39" s="38"/>
      <c r="E39" s="109">
        <v>0.65107720800000002</v>
      </c>
      <c r="F39" s="11">
        <v>9</v>
      </c>
      <c r="G39" s="30">
        <v>13</v>
      </c>
      <c r="H39" s="9">
        <f t="shared" si="7"/>
        <v>0.69230769230769229</v>
      </c>
      <c r="I39" s="11">
        <v>11</v>
      </c>
      <c r="J39" s="30">
        <v>17</v>
      </c>
      <c r="K39" s="9">
        <f>I39/J39</f>
        <v>0.6470588235294118</v>
      </c>
      <c r="L39" s="11">
        <v>10</v>
      </c>
      <c r="M39" s="30">
        <v>16</v>
      </c>
      <c r="N39" s="9">
        <f>L39/M39</f>
        <v>0.625</v>
      </c>
      <c r="O39" s="11">
        <v>15</v>
      </c>
      <c r="P39" s="30">
        <v>22</v>
      </c>
      <c r="Q39" s="9">
        <f>O39/P39</f>
        <v>0.68181818181818177</v>
      </c>
      <c r="R39" s="11">
        <v>16</v>
      </c>
      <c r="S39" s="30">
        <v>22</v>
      </c>
      <c r="T39" s="9">
        <f>R39/S39</f>
        <v>0.72727272727272729</v>
      </c>
      <c r="U39" s="11">
        <v>12</v>
      </c>
      <c r="V39" s="30">
        <v>21</v>
      </c>
      <c r="W39" s="9">
        <f>U39/V39</f>
        <v>0.5714285714285714</v>
      </c>
      <c r="X39" s="11"/>
      <c r="Y39" s="9"/>
      <c r="Z39" s="32"/>
    </row>
    <row r="40" spans="1:26" ht="16" x14ac:dyDescent="0.4">
      <c r="A40" s="86" t="s">
        <v>51</v>
      </c>
      <c r="B40" s="38">
        <f t="shared" si="6"/>
        <v>0.68672604779218416</v>
      </c>
      <c r="D40" s="38"/>
      <c r="E40" s="107">
        <v>0.6875</v>
      </c>
      <c r="F40" s="33">
        <v>11</v>
      </c>
      <c r="G40" s="34">
        <v>16</v>
      </c>
      <c r="H40" s="32">
        <v>0.58251182999999995</v>
      </c>
      <c r="J40" s="34"/>
      <c r="K40" s="32">
        <v>0.82951260000000004</v>
      </c>
      <c r="M40" s="34"/>
      <c r="N40" s="9">
        <v>0.64718951359410504</v>
      </c>
      <c r="P40" s="34"/>
      <c r="Q40" s="32">
        <v>0.59714860000000003</v>
      </c>
      <c r="S40" s="34"/>
      <c r="T40" s="32">
        <v>0.71204054315900001</v>
      </c>
      <c r="V40" s="34"/>
      <c r="W40" s="32">
        <v>0.75195319999999999</v>
      </c>
      <c r="Y40" s="34"/>
      <c r="Z40" s="32"/>
    </row>
    <row r="41" spans="1:26" ht="16" x14ac:dyDescent="0.4">
      <c r="A41" s="86" t="s">
        <v>52</v>
      </c>
      <c r="B41" s="38">
        <f t="shared" si="6"/>
        <v>0.60347249999999997</v>
      </c>
      <c r="E41" s="108">
        <v>0.60330578512396693</v>
      </c>
      <c r="F41">
        <f>40+25+8</f>
        <v>73</v>
      </c>
      <c r="G41" s="34">
        <f>60+30+31</f>
        <v>121</v>
      </c>
      <c r="H41">
        <v>0.50734999999999997</v>
      </c>
      <c r="J41" s="34"/>
      <c r="K41">
        <v>0.55242000000000002</v>
      </c>
      <c r="M41" s="34"/>
      <c r="N41">
        <v>0.60014999999999996</v>
      </c>
      <c r="P41" s="34"/>
      <c r="Q41">
        <v>0.64888999999999997</v>
      </c>
      <c r="S41" s="34"/>
      <c r="T41">
        <v>0.69311</v>
      </c>
      <c r="V41" s="34"/>
      <c r="W41">
        <v>0.61891499999999999</v>
      </c>
      <c r="Y41" s="34"/>
      <c r="Z41" s="32"/>
    </row>
    <row r="42" spans="1:26" ht="16" x14ac:dyDescent="0.4">
      <c r="A42" s="86" t="s">
        <v>53</v>
      </c>
      <c r="B42" s="38">
        <f t="shared" si="6"/>
        <v>0.54008433333333328</v>
      </c>
      <c r="E42" s="108">
        <v>0.54008438818565396</v>
      </c>
      <c r="F42">
        <f>20+45+63</f>
        <v>128</v>
      </c>
      <c r="G42" s="34">
        <f>30+50+157</f>
        <v>237</v>
      </c>
      <c r="H42">
        <v>0.52823399999999998</v>
      </c>
      <c r="J42" s="34"/>
      <c r="K42">
        <v>0.53578000000000003</v>
      </c>
      <c r="M42" s="34"/>
      <c r="N42">
        <v>0.54090499999999997</v>
      </c>
      <c r="P42" s="34"/>
      <c r="Q42">
        <v>0.54537599999999997</v>
      </c>
      <c r="S42" s="34"/>
      <c r="T42">
        <v>0.55012000000000005</v>
      </c>
      <c r="V42" s="34"/>
      <c r="W42">
        <v>0.54009099999999999</v>
      </c>
      <c r="Y42" s="34"/>
      <c r="Z42" s="32"/>
    </row>
    <row r="43" spans="1:26" ht="16" x14ac:dyDescent="0.4">
      <c r="A43" s="86" t="s">
        <v>54</v>
      </c>
      <c r="B43" s="38">
        <f t="shared" si="6"/>
        <v>0.55987883333333333</v>
      </c>
      <c r="E43" s="108">
        <v>0.55737704918032782</v>
      </c>
      <c r="F43">
        <f>90+10+36</f>
        <v>136</v>
      </c>
      <c r="G43" s="34">
        <f>100+30+114</f>
        <v>244</v>
      </c>
      <c r="H43">
        <v>0.54531200000000002</v>
      </c>
      <c r="J43" s="34"/>
      <c r="K43">
        <v>0.55247599999999997</v>
      </c>
      <c r="M43" s="34"/>
      <c r="N43">
        <v>0.55768200000000001</v>
      </c>
      <c r="P43" s="34"/>
      <c r="Q43">
        <v>0.561832</v>
      </c>
      <c r="S43" s="34"/>
      <c r="T43">
        <v>0.56700099999999998</v>
      </c>
      <c r="V43" s="34"/>
      <c r="W43">
        <v>0.57496999999999998</v>
      </c>
      <c r="Y43" s="34"/>
      <c r="Z43" s="32"/>
    </row>
    <row r="44" spans="1:26" ht="16" x14ac:dyDescent="0.4">
      <c r="A44" s="86" t="s">
        <v>55</v>
      </c>
      <c r="B44" s="38">
        <f t="shared" si="6"/>
        <v>0.7244301666666666</v>
      </c>
      <c r="E44" s="108">
        <v>0.72093023255813948</v>
      </c>
      <c r="F44">
        <f>20+95+80+22</f>
        <v>217</v>
      </c>
      <c r="G44" s="34">
        <f>25+100+100+76</f>
        <v>301</v>
      </c>
      <c r="H44">
        <v>0.71027600000000002</v>
      </c>
      <c r="J44" s="34"/>
      <c r="K44">
        <v>0.71590500000000001</v>
      </c>
      <c r="M44" s="34"/>
      <c r="N44">
        <v>0.71950599999999998</v>
      </c>
      <c r="P44" s="34"/>
      <c r="Q44">
        <v>0.72630399999999995</v>
      </c>
      <c r="S44" s="34"/>
      <c r="T44">
        <v>0.73387199999999997</v>
      </c>
      <c r="V44" s="34"/>
      <c r="W44">
        <v>0.74071799999999999</v>
      </c>
      <c r="Y44" s="34"/>
      <c r="Z44" s="32"/>
    </row>
    <row r="45" spans="1:26" ht="16" x14ac:dyDescent="0.4">
      <c r="A45" s="86" t="s">
        <v>56</v>
      </c>
      <c r="B45" s="38">
        <f t="shared" si="6"/>
        <v>0.5431507499999999</v>
      </c>
      <c r="E45" s="108">
        <v>0.54545454545454541</v>
      </c>
      <c r="F45">
        <v>6</v>
      </c>
      <c r="G45" s="34">
        <v>11</v>
      </c>
      <c r="H45">
        <v>0.53410199999999997</v>
      </c>
      <c r="J45" s="34"/>
      <c r="K45">
        <v>0.54124799999999995</v>
      </c>
      <c r="M45" s="34"/>
      <c r="N45">
        <v>0.54598599999999997</v>
      </c>
      <c r="P45" s="34"/>
      <c r="Q45">
        <v>0.55126699999999995</v>
      </c>
      <c r="S45" s="34"/>
      <c r="T45" s="32"/>
      <c r="V45" s="34"/>
      <c r="W45" s="32"/>
      <c r="Y45" s="34"/>
      <c r="Z45" s="32"/>
    </row>
    <row r="46" spans="1:26" ht="16" x14ac:dyDescent="0.4">
      <c r="A46" s="88" t="s">
        <v>57</v>
      </c>
      <c r="B46" s="38" t="e">
        <f t="shared" si="6"/>
        <v>#DIV/0!</v>
      </c>
      <c r="D46" s="38"/>
      <c r="F46" s="33"/>
      <c r="G46" s="34"/>
      <c r="H46" s="32"/>
      <c r="J46" s="34"/>
      <c r="K46" s="9"/>
      <c r="M46" s="34"/>
      <c r="N46" s="9"/>
      <c r="P46" s="34"/>
      <c r="Q46" s="9"/>
      <c r="S46" s="34"/>
      <c r="T46" s="9"/>
      <c r="V46" s="34"/>
      <c r="W46" s="9"/>
      <c r="Y46" s="32"/>
      <c r="Z46" s="32"/>
    </row>
    <row r="47" spans="1:26" ht="16" x14ac:dyDescent="0.4">
      <c r="A47" s="86" t="s">
        <v>58</v>
      </c>
      <c r="B47" s="38">
        <f t="shared" si="6"/>
        <v>0.76483134926253227</v>
      </c>
      <c r="D47" s="38"/>
      <c r="E47" s="107">
        <v>0.76487499599999997</v>
      </c>
      <c r="F47" s="35">
        <v>187</v>
      </c>
      <c r="G47" s="34">
        <v>241</v>
      </c>
      <c r="H47" s="9">
        <f>F47/G47</f>
        <v>0.77593360995850624</v>
      </c>
      <c r="I47" s="36">
        <v>159</v>
      </c>
      <c r="J47" s="34">
        <v>211</v>
      </c>
      <c r="K47" s="9">
        <f>I47/J47</f>
        <v>0.75355450236966826</v>
      </c>
      <c r="L47" s="35">
        <v>192</v>
      </c>
      <c r="M47" s="34">
        <f>135+68</f>
        <v>203</v>
      </c>
      <c r="N47" s="9">
        <f>L47/M47</f>
        <v>0.94581280788177335</v>
      </c>
      <c r="O47" s="36">
        <v>78</v>
      </c>
      <c r="P47" s="34">
        <f>106+32</f>
        <v>138</v>
      </c>
      <c r="Q47" s="9">
        <f>O47/P47</f>
        <v>0.56521739130434778</v>
      </c>
      <c r="R47" s="36">
        <v>111</v>
      </c>
      <c r="S47" s="34">
        <f>109+48</f>
        <v>157</v>
      </c>
      <c r="T47" s="9">
        <f>R47/S47</f>
        <v>0.70700636942675155</v>
      </c>
      <c r="U47">
        <f>138</f>
        <v>138</v>
      </c>
      <c r="V47" s="34">
        <f>113+51</f>
        <v>164</v>
      </c>
      <c r="W47" s="9">
        <f>U47/V47</f>
        <v>0.84146341463414631</v>
      </c>
      <c r="Y47" s="32"/>
      <c r="Z47" s="32"/>
    </row>
    <row r="48" spans="1:26" ht="16" x14ac:dyDescent="0.4">
      <c r="A48" s="86" t="s">
        <v>59</v>
      </c>
      <c r="B48" s="38">
        <f t="shared" si="6"/>
        <v>0.76420053083788364</v>
      </c>
      <c r="D48" s="38"/>
      <c r="E48" s="107">
        <v>0.76420053099999996</v>
      </c>
      <c r="F48">
        <f>118+31</f>
        <v>149</v>
      </c>
      <c r="G48" s="34">
        <f>144+61</f>
        <v>205</v>
      </c>
      <c r="H48" s="9">
        <f>F48/G48</f>
        <v>0.72682926829268291</v>
      </c>
      <c r="I48">
        <f>211</f>
        <v>211</v>
      </c>
      <c r="J48" s="34">
        <f>168+108</f>
        <v>276</v>
      </c>
      <c r="K48" s="9">
        <f>I48/J48</f>
        <v>0.76449275362318836</v>
      </c>
      <c r="L48">
        <f>146</f>
        <v>146</v>
      </c>
      <c r="M48" s="34">
        <f>169+78</f>
        <v>247</v>
      </c>
      <c r="N48" s="9">
        <f>L48/M48</f>
        <v>0.59109311740890691</v>
      </c>
      <c r="O48">
        <f>169+37</f>
        <v>206</v>
      </c>
      <c r="P48" s="34">
        <f>138+113</f>
        <v>251</v>
      </c>
      <c r="Q48" s="9">
        <f>O48/P48</f>
        <v>0.82071713147410363</v>
      </c>
      <c r="R48" s="36">
        <v>149</v>
      </c>
      <c r="S48" s="34">
        <f>139+68</f>
        <v>207</v>
      </c>
      <c r="T48" s="9">
        <f>R48/S48</f>
        <v>0.71980676328502413</v>
      </c>
      <c r="U48">
        <v>204</v>
      </c>
      <c r="V48" s="34">
        <f>160+52</f>
        <v>212</v>
      </c>
      <c r="W48" s="9">
        <f>U48/V48</f>
        <v>0.96226415094339623</v>
      </c>
      <c r="Y48" s="32"/>
      <c r="Z48" s="32"/>
    </row>
    <row r="49" spans="1:26" ht="16" x14ac:dyDescent="0.4">
      <c r="A49" s="86" t="s">
        <v>60</v>
      </c>
      <c r="B49" s="38">
        <f t="shared" si="6"/>
        <v>0.68824245240725801</v>
      </c>
      <c r="D49" s="38"/>
      <c r="E49" s="107">
        <v>0.68824245299999998</v>
      </c>
      <c r="F49">
        <f>62+50</f>
        <v>112</v>
      </c>
      <c r="G49" s="34">
        <f>58+88</f>
        <v>146</v>
      </c>
      <c r="H49" s="9">
        <f>F49/G49</f>
        <v>0.76712328767123283</v>
      </c>
      <c r="I49" s="36">
        <v>70</v>
      </c>
      <c r="J49" s="34">
        <f>66+29</f>
        <v>95</v>
      </c>
      <c r="K49" s="9">
        <f>I49/J49</f>
        <v>0.73684210526315785</v>
      </c>
      <c r="L49" s="35">
        <v>46</v>
      </c>
      <c r="M49" s="34">
        <f>56+12</f>
        <v>68</v>
      </c>
      <c r="N49" s="9">
        <f>L49/M49</f>
        <v>0.67647058823529416</v>
      </c>
      <c r="O49" s="36">
        <v>40</v>
      </c>
      <c r="P49" s="34">
        <f>35+24</f>
        <v>59</v>
      </c>
      <c r="Q49" s="9">
        <f>O49/P49</f>
        <v>0.67796610169491522</v>
      </c>
      <c r="R49" s="36">
        <v>43</v>
      </c>
      <c r="S49" s="34">
        <f>43+14</f>
        <v>57</v>
      </c>
      <c r="T49" s="9">
        <f>R49/S49</f>
        <v>0.75438596491228072</v>
      </c>
      <c r="U49">
        <v>31</v>
      </c>
      <c r="V49" s="34">
        <f>56+4</f>
        <v>60</v>
      </c>
      <c r="W49" s="9">
        <f>U49/V49</f>
        <v>0.51666666666666672</v>
      </c>
      <c r="Y49" s="32"/>
      <c r="Z49" s="32"/>
    </row>
    <row r="50" spans="1:26" ht="16" x14ac:dyDescent="0.4">
      <c r="A50" s="86" t="s">
        <v>61</v>
      </c>
      <c r="B50" s="38">
        <f t="shared" si="6"/>
        <v>0.62533146838541021</v>
      </c>
      <c r="D50" s="38"/>
      <c r="E50" s="107">
        <v>0.62533146799999995</v>
      </c>
      <c r="F50">
        <v>23</v>
      </c>
      <c r="G50" s="34">
        <f>36+14</f>
        <v>50</v>
      </c>
      <c r="H50" s="9">
        <f>F50/G50</f>
        <v>0.46</v>
      </c>
      <c r="I50">
        <f>18+30</f>
        <v>48</v>
      </c>
      <c r="J50" s="34">
        <f>40+39</f>
        <v>79</v>
      </c>
      <c r="K50" s="9">
        <f>I50/J50</f>
        <v>0.60759493670886078</v>
      </c>
      <c r="L50">
        <v>36</v>
      </c>
      <c r="M50" s="34">
        <f>34+14</f>
        <v>48</v>
      </c>
      <c r="N50" s="9">
        <f>L50/M50</f>
        <v>0.75</v>
      </c>
      <c r="O50">
        <v>31</v>
      </c>
      <c r="P50" s="34">
        <f>39+10</f>
        <v>49</v>
      </c>
      <c r="Q50" s="9">
        <f>O50/P50</f>
        <v>0.63265306122448983</v>
      </c>
      <c r="R50" s="36">
        <v>54</v>
      </c>
      <c r="S50" s="34">
        <f>61+33</f>
        <v>94</v>
      </c>
      <c r="T50" s="9">
        <f>R50/S50</f>
        <v>0.57446808510638303</v>
      </c>
      <c r="U50">
        <v>32</v>
      </c>
      <c r="V50" s="34">
        <f>15+29</f>
        <v>44</v>
      </c>
      <c r="W50" s="9">
        <f>U50/V50</f>
        <v>0.72727272727272729</v>
      </c>
      <c r="Y50" s="32"/>
      <c r="Z50" s="32"/>
    </row>
    <row r="51" spans="1:26" ht="16" x14ac:dyDescent="0.4">
      <c r="A51" s="86" t="s">
        <v>62</v>
      </c>
      <c r="B51" s="38">
        <f t="shared" si="6"/>
        <v>0.62578049999999996</v>
      </c>
      <c r="D51" s="38"/>
      <c r="E51" s="107">
        <v>0.62061403500000001</v>
      </c>
      <c r="F51">
        <f>20+20+20+30+25+25+7+30+20+86</f>
        <v>283</v>
      </c>
      <c r="G51" s="34">
        <f>30+40+30+40+30+30+20+40+30+166</f>
        <v>456</v>
      </c>
      <c r="H51">
        <v>0.61283100000000001</v>
      </c>
      <c r="J51" s="34"/>
      <c r="K51">
        <v>0.618421</v>
      </c>
      <c r="M51" s="34"/>
      <c r="N51">
        <v>0.62521300000000002</v>
      </c>
      <c r="P51" s="34"/>
      <c r="Q51">
        <v>0.63052900000000001</v>
      </c>
      <c r="S51" s="34"/>
      <c r="T51">
        <v>0.63573199999999996</v>
      </c>
      <c r="V51" s="34"/>
      <c r="W51">
        <v>0.63195699999999999</v>
      </c>
      <c r="Y51" s="34"/>
      <c r="Z51" s="32"/>
    </row>
    <row r="52" spans="1:26" ht="16" x14ac:dyDescent="0.4">
      <c r="A52" s="86" t="s">
        <v>63</v>
      </c>
      <c r="B52" s="38">
        <f t="shared" si="6"/>
        <v>0.57833733333333337</v>
      </c>
      <c r="D52" s="38"/>
      <c r="E52" s="107">
        <v>0.57683741700000002</v>
      </c>
      <c r="F52">
        <f>5+16+20+20+15+36+8+14+15+110</f>
        <v>259</v>
      </c>
      <c r="G52" s="34">
        <f>15+20+40+30+20+40+20+16+15+233</f>
        <v>449</v>
      </c>
      <c r="H52">
        <v>0.56742300000000001</v>
      </c>
      <c r="J52" s="34"/>
      <c r="K52">
        <v>0.57301199999999997</v>
      </c>
      <c r="M52" s="34"/>
      <c r="N52">
        <v>0.57920400000000005</v>
      </c>
      <c r="P52" s="34"/>
      <c r="Q52">
        <v>0.58341100000000001</v>
      </c>
      <c r="S52" s="34"/>
      <c r="T52">
        <v>0.59012399999999998</v>
      </c>
      <c r="V52" s="34"/>
      <c r="W52">
        <v>0.57684999999999997</v>
      </c>
      <c r="Y52" s="34"/>
      <c r="Z52" s="32"/>
    </row>
    <row r="53" spans="1:26" ht="16" x14ac:dyDescent="0.4">
      <c r="A53" s="86" t="s">
        <v>64</v>
      </c>
      <c r="B53" s="38">
        <f t="shared" si="6"/>
        <v>0.59763099999999991</v>
      </c>
      <c r="D53" s="38"/>
      <c r="E53" s="107">
        <v>0.59745762700000005</v>
      </c>
      <c r="F53">
        <f>20+10+30+15+10+197</f>
        <v>282</v>
      </c>
      <c r="G53" s="34">
        <f>40+20+40+20+30+322</f>
        <v>472</v>
      </c>
      <c r="H53">
        <v>0.58623099999999995</v>
      </c>
      <c r="J53" s="34"/>
      <c r="K53">
        <v>0.59135199999999999</v>
      </c>
      <c r="M53" s="34"/>
      <c r="N53">
        <v>0.59853100000000004</v>
      </c>
      <c r="P53" s="34"/>
      <c r="Q53">
        <v>0.60379000000000005</v>
      </c>
      <c r="S53" s="34"/>
      <c r="T53">
        <v>0.61212500000000003</v>
      </c>
      <c r="V53" s="34"/>
      <c r="W53">
        <v>0.59375699999999998</v>
      </c>
      <c r="Y53" s="34"/>
      <c r="Z53" s="32"/>
    </row>
    <row r="54" spans="1:26" ht="16" x14ac:dyDescent="0.4">
      <c r="A54" s="86" t="s">
        <v>65</v>
      </c>
      <c r="B54" s="38">
        <f t="shared" si="6"/>
        <v>0.6958186666666667</v>
      </c>
      <c r="D54" s="38"/>
      <c r="E54" s="107">
        <v>0.69565217400000001</v>
      </c>
      <c r="F54">
        <f>20+17+25+258</f>
        <v>320</v>
      </c>
      <c r="G54" s="34">
        <f>30+20+30+380</f>
        <v>460</v>
      </c>
      <c r="H54">
        <v>0.68123400000000001</v>
      </c>
      <c r="J54" s="34"/>
      <c r="K54">
        <v>0.69087600000000005</v>
      </c>
      <c r="M54" s="34"/>
      <c r="N54">
        <v>0.69643100000000002</v>
      </c>
      <c r="P54" s="34"/>
      <c r="Q54">
        <v>0.70212300000000005</v>
      </c>
      <c r="S54" s="34"/>
      <c r="T54">
        <v>0.70942099999999997</v>
      </c>
      <c r="V54" s="34"/>
      <c r="W54">
        <v>0.69482699999999997</v>
      </c>
      <c r="Y54" s="34"/>
      <c r="Z54" s="32"/>
    </row>
    <row r="55" spans="1:26" ht="16" x14ac:dyDescent="0.4">
      <c r="A55" s="86" t="s">
        <v>66</v>
      </c>
      <c r="B55" s="38">
        <f t="shared" si="6"/>
        <v>0.60016933333333333</v>
      </c>
      <c r="D55" s="38"/>
      <c r="E55" s="107">
        <v>0.6</v>
      </c>
      <c r="F55">
        <v>6</v>
      </c>
      <c r="G55" s="34">
        <v>10</v>
      </c>
      <c r="H55">
        <v>0.58944200000000002</v>
      </c>
      <c r="J55" s="34"/>
      <c r="K55">
        <v>0.59527699999999995</v>
      </c>
      <c r="M55" s="34"/>
      <c r="N55">
        <v>0.60162800000000005</v>
      </c>
      <c r="P55" s="34"/>
      <c r="Q55">
        <v>0.60524100000000003</v>
      </c>
      <c r="S55" s="34"/>
      <c r="T55">
        <v>0.61167199999999999</v>
      </c>
      <c r="V55" s="34"/>
      <c r="W55">
        <v>0.59775599999999995</v>
      </c>
      <c r="Y55" s="34"/>
      <c r="Z55" s="32"/>
    </row>
    <row r="56" spans="1:26" ht="16" x14ac:dyDescent="0.4">
      <c r="A56" s="86" t="s">
        <v>67</v>
      </c>
      <c r="B56" s="38">
        <f t="shared" si="6"/>
        <v>0.73530050000000002</v>
      </c>
      <c r="D56" s="38"/>
      <c r="E56" s="107">
        <v>0.73684210500000002</v>
      </c>
      <c r="F56">
        <v>14</v>
      </c>
      <c r="G56" s="34">
        <v>19</v>
      </c>
      <c r="H56">
        <v>0.72165199999999996</v>
      </c>
      <c r="J56" s="34"/>
      <c r="K56">
        <v>0.73004100000000005</v>
      </c>
      <c r="M56" s="34"/>
      <c r="N56">
        <v>0.73510699999999995</v>
      </c>
      <c r="P56" s="34"/>
      <c r="Q56">
        <v>0.74045899999999998</v>
      </c>
      <c r="S56" s="34"/>
      <c r="T56">
        <v>0.74861100000000003</v>
      </c>
      <c r="V56" s="34"/>
      <c r="W56">
        <v>0.73593299999999995</v>
      </c>
      <c r="Y56" s="34"/>
      <c r="Z56" s="32"/>
    </row>
    <row r="57" spans="1:26" ht="16" x14ac:dyDescent="0.4">
      <c r="A57" s="88" t="s">
        <v>68</v>
      </c>
      <c r="B57" s="38" t="e">
        <f t="shared" si="6"/>
        <v>#DIV/0!</v>
      </c>
      <c r="D57" s="38"/>
      <c r="G57" s="34"/>
      <c r="H57" s="9"/>
      <c r="J57" s="34"/>
      <c r="K57" s="9"/>
      <c r="M57" s="34"/>
      <c r="N57" s="9"/>
      <c r="P57" s="34"/>
      <c r="Q57" s="9"/>
      <c r="S57" s="34"/>
      <c r="T57" s="9"/>
      <c r="V57" s="34"/>
      <c r="W57" s="9"/>
      <c r="Y57" s="32"/>
      <c r="Z57" s="32"/>
    </row>
    <row r="58" spans="1:26" ht="16" x14ac:dyDescent="0.4">
      <c r="A58" s="86" t="s">
        <v>69</v>
      </c>
      <c r="B58" s="38">
        <f t="shared" si="6"/>
        <v>0.56506194954470812</v>
      </c>
      <c r="D58" s="38"/>
      <c r="E58" s="109">
        <v>0.56575283300000001</v>
      </c>
      <c r="F58">
        <v>25</v>
      </c>
      <c r="G58" s="34">
        <f>37+7</f>
        <v>44</v>
      </c>
      <c r="H58" s="9">
        <f>F58/G58</f>
        <v>0.56818181818181823</v>
      </c>
      <c r="I58">
        <v>21</v>
      </c>
      <c r="J58" s="34">
        <f>21+8</f>
        <v>29</v>
      </c>
      <c r="K58" s="9">
        <f>I58/J58</f>
        <v>0.72413793103448276</v>
      </c>
      <c r="L58">
        <v>34</v>
      </c>
      <c r="M58" s="34">
        <f>51+17</f>
        <v>68</v>
      </c>
      <c r="N58" s="9">
        <f>L58/M58</f>
        <v>0.5</v>
      </c>
      <c r="O58">
        <f>51</f>
        <v>51</v>
      </c>
      <c r="P58" s="34">
        <f>78+6</f>
        <v>84</v>
      </c>
      <c r="Q58" s="9">
        <f>O58/P58</f>
        <v>0.6071428571428571</v>
      </c>
      <c r="R58" s="36">
        <v>38</v>
      </c>
      <c r="S58" s="34">
        <f>52+24</f>
        <v>76</v>
      </c>
      <c r="T58" s="9">
        <f>R58/S58</f>
        <v>0.5</v>
      </c>
      <c r="U58">
        <v>27</v>
      </c>
      <c r="V58" s="34">
        <f>50+5</f>
        <v>55</v>
      </c>
      <c r="W58" s="9">
        <f t="shared" ref="W58:W61" si="9">U58/V58</f>
        <v>0.49090909090909091</v>
      </c>
      <c r="Y58" s="32"/>
      <c r="Z58" s="32"/>
    </row>
    <row r="59" spans="1:26" ht="16" x14ac:dyDescent="0.4">
      <c r="A59" s="86" t="s">
        <v>70</v>
      </c>
      <c r="B59" s="38">
        <f t="shared" si="6"/>
        <v>0.69705740506421099</v>
      </c>
      <c r="D59" s="38"/>
      <c r="E59" s="107">
        <v>0.69783571499999997</v>
      </c>
      <c r="F59">
        <v>51</v>
      </c>
      <c r="G59" s="34">
        <f>49+37</f>
        <v>86</v>
      </c>
      <c r="H59" s="9">
        <f>F59/G59</f>
        <v>0.59302325581395354</v>
      </c>
      <c r="I59">
        <v>83</v>
      </c>
      <c r="J59" s="34">
        <f>78+59</f>
        <v>137</v>
      </c>
      <c r="K59" s="9">
        <f>I59/J59</f>
        <v>0.6058394160583942</v>
      </c>
      <c r="L59">
        <v>53</v>
      </c>
      <c r="M59" s="34">
        <f>55+22</f>
        <v>77</v>
      </c>
      <c r="N59" s="9">
        <f>L59/M59</f>
        <v>0.68831168831168832</v>
      </c>
      <c r="O59">
        <f>58</f>
        <v>58</v>
      </c>
      <c r="P59" s="34">
        <f>60+23</f>
        <v>83</v>
      </c>
      <c r="Q59" s="9">
        <f>O59/P59</f>
        <v>0.6987951807228916</v>
      </c>
      <c r="R59">
        <f>45</f>
        <v>45</v>
      </c>
      <c r="S59" s="34">
        <f>42+16</f>
        <v>58</v>
      </c>
      <c r="T59" s="9">
        <f t="shared" ref="T59:T61" si="10">R59/S59</f>
        <v>0.77586206896551724</v>
      </c>
      <c r="U59">
        <v>64</v>
      </c>
      <c r="V59" s="34">
        <f>62+16</f>
        <v>78</v>
      </c>
      <c r="W59" s="9">
        <f t="shared" si="9"/>
        <v>0.82051282051282048</v>
      </c>
      <c r="Y59" s="32"/>
      <c r="Z59" s="32"/>
    </row>
    <row r="60" spans="1:26" ht="16" x14ac:dyDescent="0.4">
      <c r="A60" s="86" t="s">
        <v>71</v>
      </c>
      <c r="B60" s="38">
        <f t="shared" si="6"/>
        <v>0.81643059746887658</v>
      </c>
      <c r="D60" s="38"/>
      <c r="E60" s="107">
        <v>0.81605881000000002</v>
      </c>
      <c r="F60">
        <f>74</f>
        <v>74</v>
      </c>
      <c r="G60" s="34">
        <f>72+19</f>
        <v>91</v>
      </c>
      <c r="H60" s="9">
        <f>F60/G60</f>
        <v>0.81318681318681318</v>
      </c>
      <c r="I60">
        <v>97</v>
      </c>
      <c r="J60" s="34">
        <f>76+32</f>
        <v>108</v>
      </c>
      <c r="K60" s="9">
        <f>I60/J60</f>
        <v>0.89814814814814814</v>
      </c>
      <c r="L60">
        <v>68</v>
      </c>
      <c r="M60" s="34">
        <f>67+14</f>
        <v>81</v>
      </c>
      <c r="N60" s="9">
        <f>L60/M60</f>
        <v>0.83950617283950613</v>
      </c>
      <c r="O60">
        <v>65</v>
      </c>
      <c r="P60" s="34">
        <f>14+68</f>
        <v>82</v>
      </c>
      <c r="Q60" s="9">
        <f>O60/P60</f>
        <v>0.79268292682926833</v>
      </c>
      <c r="R60">
        <f>67</f>
        <v>67</v>
      </c>
      <c r="S60" s="34">
        <f>82+14</f>
        <v>96</v>
      </c>
      <c r="T60" s="9">
        <f t="shared" si="10"/>
        <v>0.69791666666666663</v>
      </c>
      <c r="U60">
        <v>90</v>
      </c>
      <c r="V60" s="34">
        <f>73+32</f>
        <v>105</v>
      </c>
      <c r="W60" s="9">
        <f t="shared" si="9"/>
        <v>0.8571428571428571</v>
      </c>
      <c r="Y60" s="32"/>
      <c r="Z60" s="32"/>
    </row>
    <row r="61" spans="1:26" ht="16" x14ac:dyDescent="0.4">
      <c r="A61" s="86" t="s">
        <v>72</v>
      </c>
      <c r="B61" s="38">
        <f>AVERAGE(H61,K61,N61,Q61,T61,W61)</f>
        <v>0.78010629407981102</v>
      </c>
      <c r="D61" s="38"/>
      <c r="E61" s="107">
        <v>0.78010629399999998</v>
      </c>
      <c r="F61">
        <v>82</v>
      </c>
      <c r="G61" s="34">
        <f>79+19</f>
        <v>98</v>
      </c>
      <c r="H61" s="9">
        <f>F61/G61</f>
        <v>0.83673469387755106</v>
      </c>
      <c r="I61">
        <v>86</v>
      </c>
      <c r="J61" s="34">
        <f>87+14</f>
        <v>101</v>
      </c>
      <c r="K61" s="9">
        <f>I61/J61</f>
        <v>0.85148514851485146</v>
      </c>
      <c r="L61">
        <v>89</v>
      </c>
      <c r="M61" s="34">
        <f>99+25</f>
        <v>124</v>
      </c>
      <c r="N61" s="9">
        <f>L61/M61</f>
        <v>0.717741935483871</v>
      </c>
      <c r="O61">
        <v>77</v>
      </c>
      <c r="P61" s="34">
        <f>100+9</f>
        <v>109</v>
      </c>
      <c r="Q61" s="9">
        <f>O61/P61</f>
        <v>0.70642201834862384</v>
      </c>
      <c r="R61">
        <v>76</v>
      </c>
      <c r="S61" s="34">
        <f>86+19</f>
        <v>105</v>
      </c>
      <c r="T61" s="9">
        <f t="shared" si="10"/>
        <v>0.72380952380952379</v>
      </c>
      <c r="U61">
        <v>76</v>
      </c>
      <c r="V61" s="34">
        <f>77+13</f>
        <v>90</v>
      </c>
      <c r="W61" s="9">
        <f t="shared" si="9"/>
        <v>0.84444444444444444</v>
      </c>
      <c r="Y61" s="32"/>
      <c r="Z61" s="32"/>
    </row>
    <row r="62" spans="1:26" ht="16" x14ac:dyDescent="0.4">
      <c r="A62" s="86" t="s">
        <v>73</v>
      </c>
      <c r="B62" s="38">
        <f t="shared" si="6"/>
        <v>0.62656466666666666</v>
      </c>
      <c r="D62" s="38"/>
      <c r="E62" s="107">
        <v>0.62339807999999997</v>
      </c>
      <c r="F62">
        <f>10+80</f>
        <v>90</v>
      </c>
      <c r="G62" s="34">
        <f>15+122</f>
        <v>137</v>
      </c>
      <c r="H62">
        <v>0.615232</v>
      </c>
      <c r="J62" s="34"/>
      <c r="K62">
        <v>0.62074099999999999</v>
      </c>
      <c r="M62" s="34"/>
      <c r="N62">
        <v>0.62859200000000004</v>
      </c>
      <c r="P62" s="34"/>
      <c r="Q62">
        <v>0.63504700000000003</v>
      </c>
      <c r="S62" s="34"/>
      <c r="T62">
        <v>0.63030600000000003</v>
      </c>
      <c r="V62" s="34"/>
      <c r="W62">
        <v>0.62946999999999997</v>
      </c>
      <c r="Y62" s="34"/>
      <c r="Z62" s="32"/>
    </row>
    <row r="63" spans="1:26" ht="16" x14ac:dyDescent="0.4">
      <c r="A63" s="86" t="s">
        <v>74</v>
      </c>
      <c r="B63" s="38">
        <f t="shared" si="6"/>
        <v>0.59389116666666675</v>
      </c>
      <c r="D63" s="38"/>
      <c r="E63" s="107">
        <v>0.59389110199999995</v>
      </c>
      <c r="F63">
        <f>60+10+26</f>
        <v>96</v>
      </c>
      <c r="G63" s="34">
        <f>80+15+49</f>
        <v>144</v>
      </c>
      <c r="H63">
        <v>0.58625700000000003</v>
      </c>
      <c r="J63" s="34"/>
      <c r="K63">
        <v>0.59136299999999997</v>
      </c>
      <c r="M63" s="34"/>
      <c r="N63">
        <v>0.59520499999999998</v>
      </c>
      <c r="P63" s="34"/>
      <c r="Q63">
        <v>0.60041599999999995</v>
      </c>
      <c r="S63" s="34"/>
      <c r="T63">
        <v>0.60392400000000002</v>
      </c>
      <c r="V63" s="34"/>
      <c r="W63">
        <v>0.58618199999999998</v>
      </c>
      <c r="Y63" s="34"/>
      <c r="Z63" s="32"/>
    </row>
    <row r="64" spans="1:26" ht="16" x14ac:dyDescent="0.4">
      <c r="A64" s="86" t="s">
        <v>75</v>
      </c>
      <c r="B64" s="38">
        <f t="shared" si="6"/>
        <v>0.58821583333333327</v>
      </c>
      <c r="D64" s="38"/>
      <c r="E64" s="107">
        <v>0.588215924</v>
      </c>
      <c r="F64">
        <f>19+21</f>
        <v>40</v>
      </c>
      <c r="G64" s="34">
        <f>20+35</f>
        <v>55</v>
      </c>
      <c r="H64">
        <v>0.57633199999999996</v>
      </c>
      <c r="J64" s="34"/>
      <c r="K64">
        <v>0.582511</v>
      </c>
      <c r="M64" s="34"/>
      <c r="N64">
        <v>0.58870299999999998</v>
      </c>
      <c r="P64" s="34"/>
      <c r="Q64">
        <v>0.59600299999999995</v>
      </c>
      <c r="S64" s="34"/>
      <c r="T64">
        <v>0.59202399999999999</v>
      </c>
      <c r="V64" s="34"/>
      <c r="W64">
        <v>0.59372199999999997</v>
      </c>
      <c r="Y64" s="34"/>
      <c r="Z64" s="32"/>
    </row>
    <row r="65" spans="1:26" ht="16" x14ac:dyDescent="0.4">
      <c r="A65" s="86" t="s">
        <v>76</v>
      </c>
      <c r="B65" s="38">
        <f t="shared" si="6"/>
        <v>0.51636066666666669</v>
      </c>
      <c r="D65" s="38"/>
      <c r="E65" s="107">
        <v>0.51286076700000005</v>
      </c>
      <c r="F65">
        <f>40+10+24</f>
        <v>74</v>
      </c>
      <c r="G65" s="34">
        <f>50+20+66</f>
        <v>136</v>
      </c>
      <c r="H65">
        <v>0.50592300000000001</v>
      </c>
      <c r="J65" s="34"/>
      <c r="K65">
        <v>0.51067600000000002</v>
      </c>
      <c r="M65" s="34"/>
      <c r="N65">
        <v>0.51584300000000005</v>
      </c>
      <c r="P65" s="34"/>
      <c r="Q65">
        <v>0.52002199999999998</v>
      </c>
      <c r="S65" s="34"/>
      <c r="T65">
        <v>0.52541099999999996</v>
      </c>
      <c r="V65" s="34"/>
      <c r="W65">
        <v>0.520289</v>
      </c>
      <c r="Y65" s="34"/>
      <c r="Z65" s="32"/>
    </row>
    <row r="66" spans="1:26" ht="16" x14ac:dyDescent="0.4">
      <c r="A66" s="86" t="s">
        <v>77</v>
      </c>
      <c r="B66" s="38">
        <f t="shared" si="6"/>
        <v>0.6</v>
      </c>
      <c r="D66" s="38"/>
      <c r="E66" s="107">
        <v>0.6</v>
      </c>
      <c r="F66">
        <v>3</v>
      </c>
      <c r="G66" s="34">
        <v>5</v>
      </c>
      <c r="H66">
        <v>0.61214400000000002</v>
      </c>
      <c r="J66" s="34"/>
      <c r="K66">
        <v>0.60975500000000005</v>
      </c>
      <c r="M66" s="34"/>
      <c r="N66">
        <v>0.60245899999999997</v>
      </c>
      <c r="P66" s="34"/>
      <c r="Q66">
        <v>0.59789400000000004</v>
      </c>
      <c r="S66" s="34"/>
      <c r="T66">
        <v>0.592472</v>
      </c>
      <c r="V66" s="34"/>
      <c r="W66">
        <v>0.58527600000000002</v>
      </c>
      <c r="Y66" s="34"/>
      <c r="Z66" s="32"/>
    </row>
    <row r="67" spans="1:26" ht="16" x14ac:dyDescent="0.4">
      <c r="A67" s="86" t="s">
        <v>78</v>
      </c>
      <c r="B67" s="38">
        <f t="shared" si="6"/>
        <v>0.52678310648589954</v>
      </c>
      <c r="F67">
        <v>21</v>
      </c>
      <c r="G67" s="34">
        <v>60</v>
      </c>
      <c r="H67" s="9">
        <f t="shared" ref="H67:H78" si="11">F67/G67</f>
        <v>0.35</v>
      </c>
      <c r="I67">
        <v>25</v>
      </c>
      <c r="J67" s="34">
        <v>66</v>
      </c>
      <c r="K67" s="9">
        <f t="shared" ref="K67:K72" si="12">I67/J67</f>
        <v>0.37878787878787878</v>
      </c>
      <c r="L67">
        <v>46</v>
      </c>
      <c r="M67" s="34">
        <v>90</v>
      </c>
      <c r="N67" s="9">
        <f t="shared" ref="N67:N72" si="13">L67/M67</f>
        <v>0.51111111111111107</v>
      </c>
      <c r="O67">
        <v>41</v>
      </c>
      <c r="P67" s="34">
        <v>71</v>
      </c>
      <c r="Q67" s="9">
        <f>O67/P67</f>
        <v>0.57746478873239437</v>
      </c>
      <c r="R67">
        <v>37</v>
      </c>
      <c r="S67" s="34">
        <v>59</v>
      </c>
      <c r="T67" s="9">
        <f>R67/S67</f>
        <v>0.6271186440677966</v>
      </c>
      <c r="U67">
        <v>53</v>
      </c>
      <c r="V67" s="34">
        <v>74</v>
      </c>
      <c r="W67" s="9">
        <f>U67/V67</f>
        <v>0.71621621621621623</v>
      </c>
      <c r="X67">
        <v>41</v>
      </c>
      <c r="Y67" s="34">
        <v>66</v>
      </c>
      <c r="Z67" s="9">
        <f>X67/Y67</f>
        <v>0.62121212121212122</v>
      </c>
    </row>
    <row r="68" spans="1:26" ht="16" x14ac:dyDescent="0.4">
      <c r="A68" s="90" t="s">
        <v>79</v>
      </c>
      <c r="B68" s="38" t="e">
        <f t="shared" si="6"/>
        <v>#DIV/0!</v>
      </c>
      <c r="G68" s="34"/>
      <c r="H68" s="9"/>
      <c r="J68" s="34"/>
      <c r="K68" s="9"/>
      <c r="M68" s="34"/>
      <c r="N68" s="9"/>
      <c r="P68" s="34"/>
      <c r="Q68" s="9"/>
      <c r="S68" s="34"/>
      <c r="T68" s="9"/>
      <c r="V68" s="34"/>
      <c r="W68" s="9"/>
      <c r="Y68" s="32"/>
      <c r="Z68" s="32"/>
    </row>
    <row r="69" spans="1:26" x14ac:dyDescent="0.35">
      <c r="A69" s="42" t="s">
        <v>80</v>
      </c>
      <c r="B69" s="38" t="e">
        <f t="shared" ref="B69:B89" si="14">AVERAGE(H69,K69,N69,Q69,T69,W69)</f>
        <v>#DIV/0!</v>
      </c>
      <c r="E69">
        <v>0.67738095238095242</v>
      </c>
      <c r="F69">
        <v>4</v>
      </c>
      <c r="G69" s="34">
        <v>7</v>
      </c>
      <c r="H69" s="9">
        <f t="shared" si="11"/>
        <v>0.5714285714285714</v>
      </c>
      <c r="I69">
        <v>26</v>
      </c>
      <c r="J69" s="34">
        <v>36</v>
      </c>
      <c r="K69" s="9">
        <f t="shared" si="12"/>
        <v>0.72222222222222221</v>
      </c>
      <c r="L69">
        <v>38</v>
      </c>
      <c r="M69" s="34">
        <v>45</v>
      </c>
      <c r="N69" s="9">
        <f t="shared" si="13"/>
        <v>0.84444444444444444</v>
      </c>
      <c r="O69">
        <v>4</v>
      </c>
      <c r="P69" s="34">
        <v>7</v>
      </c>
      <c r="Q69" s="9">
        <f t="shared" ref="Q69:Q72" si="15">O69/P69</f>
        <v>0.5714285714285714</v>
      </c>
      <c r="S69" s="34"/>
      <c r="T69" s="9" t="e">
        <f t="shared" ref="T69:T85" si="16">R69/S69</f>
        <v>#DIV/0!</v>
      </c>
      <c r="V69" s="34"/>
      <c r="W69" s="9" t="e">
        <f t="shared" ref="W69:W85" si="17">U69/V69</f>
        <v>#DIV/0!</v>
      </c>
      <c r="Y69" s="32"/>
      <c r="Z69" s="32"/>
    </row>
    <row r="70" spans="1:26" x14ac:dyDescent="0.35">
      <c r="A70" s="42" t="s">
        <v>81</v>
      </c>
      <c r="B70" s="38" t="e">
        <f t="shared" si="14"/>
        <v>#DIV/0!</v>
      </c>
      <c r="E70">
        <v>0.62499999982477683</v>
      </c>
      <c r="G70" s="34"/>
      <c r="H70" s="9" t="e">
        <f t="shared" si="11"/>
        <v>#DIV/0!</v>
      </c>
      <c r="J70" s="34"/>
      <c r="K70" s="9" t="e">
        <f t="shared" si="12"/>
        <v>#DIV/0!</v>
      </c>
      <c r="M70" s="34"/>
      <c r="N70" s="9" t="e">
        <f t="shared" si="13"/>
        <v>#DIV/0!</v>
      </c>
      <c r="P70" s="34"/>
      <c r="Q70" s="9" t="e">
        <f t="shared" si="15"/>
        <v>#DIV/0!</v>
      </c>
      <c r="S70" s="34"/>
      <c r="T70" s="9" t="e">
        <f t="shared" si="16"/>
        <v>#DIV/0!</v>
      </c>
      <c r="V70" s="34"/>
      <c r="W70" s="9" t="e">
        <f t="shared" si="17"/>
        <v>#DIV/0!</v>
      </c>
      <c r="Y70" s="32"/>
      <c r="Z70" s="32"/>
    </row>
    <row r="71" spans="1:26" x14ac:dyDescent="0.35">
      <c r="A71" s="42" t="s">
        <v>125</v>
      </c>
      <c r="B71" s="38" t="e">
        <f t="shared" si="14"/>
        <v>#DIV/0!</v>
      </c>
      <c r="E71">
        <v>0.63690476195575652</v>
      </c>
      <c r="G71" s="34"/>
      <c r="H71" s="9" t="e">
        <f t="shared" si="11"/>
        <v>#DIV/0!</v>
      </c>
      <c r="J71" s="34"/>
      <c r="K71" s="9" t="e">
        <f t="shared" si="12"/>
        <v>#DIV/0!</v>
      </c>
      <c r="M71" s="34"/>
      <c r="N71" s="9" t="e">
        <f t="shared" si="13"/>
        <v>#DIV/0!</v>
      </c>
      <c r="P71" s="34"/>
      <c r="Q71" s="9" t="e">
        <f t="shared" si="15"/>
        <v>#DIV/0!</v>
      </c>
      <c r="S71" s="34"/>
      <c r="T71" s="9" t="e">
        <f t="shared" si="16"/>
        <v>#DIV/0!</v>
      </c>
      <c r="V71" s="34"/>
      <c r="W71" s="9" t="e">
        <f t="shared" si="17"/>
        <v>#DIV/0!</v>
      </c>
      <c r="Y71" s="32"/>
      <c r="Z71" s="32"/>
    </row>
    <row r="72" spans="1:26" x14ac:dyDescent="0.35">
      <c r="A72" s="42" t="s">
        <v>82</v>
      </c>
      <c r="B72" s="38" t="e">
        <f t="shared" si="14"/>
        <v>#DIV/0!</v>
      </c>
      <c r="E72">
        <v>0.66410427797761162</v>
      </c>
      <c r="G72" s="34"/>
      <c r="H72" s="9" t="e">
        <f t="shared" si="11"/>
        <v>#DIV/0!</v>
      </c>
      <c r="J72" s="34"/>
      <c r="K72" s="9" t="e">
        <f t="shared" si="12"/>
        <v>#DIV/0!</v>
      </c>
      <c r="M72" s="34"/>
      <c r="N72" s="9" t="e">
        <f t="shared" si="13"/>
        <v>#DIV/0!</v>
      </c>
      <c r="P72" s="34"/>
      <c r="Q72" s="9" t="e">
        <f t="shared" si="15"/>
        <v>#DIV/0!</v>
      </c>
      <c r="S72" s="34"/>
      <c r="T72" s="9" t="e">
        <f t="shared" si="16"/>
        <v>#DIV/0!</v>
      </c>
      <c r="V72" s="34"/>
      <c r="W72" s="9" t="e">
        <f t="shared" si="17"/>
        <v>#DIV/0!</v>
      </c>
      <c r="Y72" s="32"/>
      <c r="Z72" s="32"/>
    </row>
    <row r="73" spans="1:26" x14ac:dyDescent="0.35">
      <c r="A73" s="42" t="s">
        <v>83</v>
      </c>
      <c r="B73" s="38">
        <f t="shared" si="14"/>
        <v>0.73443983402489632</v>
      </c>
      <c r="E73">
        <v>0.73443983402489632</v>
      </c>
      <c r="F73">
        <f>20+20+137</f>
        <v>177</v>
      </c>
      <c r="G73" s="34">
        <f>30+30+181</f>
        <v>241</v>
      </c>
      <c r="H73" s="9">
        <f t="shared" si="11"/>
        <v>0.73443983402489632</v>
      </c>
      <c r="J73" s="34"/>
      <c r="K73" s="9"/>
      <c r="M73" s="34"/>
      <c r="N73" s="32"/>
      <c r="P73" s="34"/>
      <c r="Q73" s="32"/>
      <c r="S73" s="34"/>
      <c r="T73" s="9"/>
      <c r="V73" s="34"/>
      <c r="W73" s="9"/>
      <c r="Y73" s="34"/>
      <c r="Z73" s="32"/>
    </row>
    <row r="74" spans="1:26" x14ac:dyDescent="0.35">
      <c r="A74" s="42" t="s">
        <v>84</v>
      </c>
      <c r="B74" s="38">
        <f t="shared" si="14"/>
        <v>0.69098712446351929</v>
      </c>
      <c r="E74">
        <v>0.69098712446351929</v>
      </c>
      <c r="F74">
        <f>11+150</f>
        <v>161</v>
      </c>
      <c r="G74" s="34">
        <f>150+83</f>
        <v>233</v>
      </c>
      <c r="H74" s="9">
        <f t="shared" si="11"/>
        <v>0.69098712446351929</v>
      </c>
      <c r="J74" s="34"/>
      <c r="K74" s="9"/>
      <c r="M74" s="34"/>
      <c r="N74" s="32"/>
      <c r="P74" s="34"/>
      <c r="Q74" s="32"/>
      <c r="S74" s="34"/>
      <c r="T74" s="9"/>
      <c r="V74" s="34"/>
      <c r="W74" s="9"/>
      <c r="Y74" s="34"/>
      <c r="Z74" s="32"/>
    </row>
    <row r="75" spans="1:26" x14ac:dyDescent="0.35">
      <c r="A75" s="42" t="s">
        <v>85</v>
      </c>
      <c r="B75" s="38">
        <f t="shared" si="14"/>
        <v>0.61165048543689315</v>
      </c>
      <c r="E75">
        <v>0.61165048543689315</v>
      </c>
      <c r="F75">
        <f>15+18+30</f>
        <v>63</v>
      </c>
      <c r="G75" s="34">
        <f>20+20+63</f>
        <v>103</v>
      </c>
      <c r="H75" s="9">
        <f t="shared" si="11"/>
        <v>0.61165048543689315</v>
      </c>
      <c r="J75" s="34"/>
      <c r="K75" s="9"/>
      <c r="M75" s="34"/>
      <c r="N75" s="32"/>
      <c r="P75" s="34"/>
      <c r="Q75" s="32"/>
      <c r="S75" s="34"/>
      <c r="T75" s="9"/>
      <c r="V75" s="34"/>
      <c r="W75" s="9"/>
      <c r="Y75" s="34"/>
      <c r="Z75" s="32"/>
    </row>
    <row r="76" spans="1:26" x14ac:dyDescent="0.35">
      <c r="A76" s="42" t="s">
        <v>86</v>
      </c>
      <c r="B76" s="38">
        <f t="shared" si="14"/>
        <v>0.65022421524663676</v>
      </c>
      <c r="E76">
        <v>0.65022421524663676</v>
      </c>
      <c r="F76">
        <f>10+20+20+40+35+20</f>
        <v>145</v>
      </c>
      <c r="G76" s="34">
        <f>20+30+20+60+40+53</f>
        <v>223</v>
      </c>
      <c r="H76" s="9">
        <f t="shared" si="11"/>
        <v>0.65022421524663676</v>
      </c>
      <c r="J76" s="34"/>
      <c r="K76" s="9"/>
      <c r="M76" s="34"/>
      <c r="N76" s="32"/>
      <c r="P76" s="34"/>
      <c r="Q76" s="32"/>
      <c r="S76" s="34"/>
      <c r="T76" s="9"/>
      <c r="V76" s="34"/>
      <c r="W76" s="9"/>
      <c r="Y76" s="34"/>
      <c r="Z76" s="32"/>
    </row>
    <row r="77" spans="1:26" x14ac:dyDescent="0.35">
      <c r="A77" s="42" t="s">
        <v>87</v>
      </c>
      <c r="B77" s="38">
        <f t="shared" si="14"/>
        <v>0.57999999999999996</v>
      </c>
      <c r="E77">
        <v>0.57999999999999996</v>
      </c>
      <c r="F77">
        <f>12+16+5+12+13</f>
        <v>58</v>
      </c>
      <c r="G77" s="34">
        <f>15+20+15+15+35</f>
        <v>100</v>
      </c>
      <c r="H77" s="9">
        <f t="shared" si="11"/>
        <v>0.57999999999999996</v>
      </c>
      <c r="J77" s="34"/>
      <c r="K77" s="9"/>
      <c r="M77" s="34"/>
      <c r="N77" s="32"/>
      <c r="P77" s="34"/>
      <c r="Q77" s="32"/>
      <c r="S77" s="34"/>
      <c r="T77" s="9"/>
      <c r="V77" s="34"/>
      <c r="W77" s="9"/>
      <c r="Y77" s="34"/>
      <c r="Z77" s="32"/>
    </row>
    <row r="78" spans="1:26" x14ac:dyDescent="0.35">
      <c r="A78" s="42" t="s">
        <v>88</v>
      </c>
      <c r="B78" s="38">
        <f t="shared" si="14"/>
        <v>0.58571428571428574</v>
      </c>
      <c r="E78">
        <v>0.58571428571428574</v>
      </c>
      <c r="F78">
        <v>164</v>
      </c>
      <c r="G78" s="34">
        <v>280</v>
      </c>
      <c r="H78" s="9">
        <f t="shared" si="11"/>
        <v>0.58571428571428574</v>
      </c>
      <c r="J78" s="34"/>
      <c r="K78" s="9"/>
      <c r="M78" s="34"/>
      <c r="N78" s="32"/>
      <c r="P78" s="34"/>
      <c r="Q78" s="32"/>
      <c r="S78" s="34"/>
      <c r="T78" s="9"/>
      <c r="V78" s="34"/>
      <c r="W78" s="9"/>
      <c r="Y78" s="34"/>
      <c r="Z78" s="32"/>
    </row>
    <row r="79" spans="1:26" ht="16" x14ac:dyDescent="0.4">
      <c r="A79" s="90" t="s">
        <v>89</v>
      </c>
      <c r="B79" s="38" t="e">
        <f t="shared" si="14"/>
        <v>#DIV/0!</v>
      </c>
      <c r="G79" s="34"/>
      <c r="H79" s="9"/>
      <c r="J79" s="34"/>
      <c r="K79" s="9"/>
      <c r="M79" s="34"/>
      <c r="N79" s="9"/>
      <c r="P79" s="34"/>
      <c r="Q79" s="9"/>
      <c r="S79" s="34"/>
      <c r="T79" s="9"/>
      <c r="V79" s="34"/>
      <c r="W79" s="9"/>
      <c r="Y79" s="32"/>
      <c r="Z79" s="32"/>
    </row>
    <row r="80" spans="1:26" ht="16" x14ac:dyDescent="0.4">
      <c r="A80" s="86" t="s">
        <v>90</v>
      </c>
      <c r="B80" s="38" t="e">
        <f t="shared" si="14"/>
        <v>#DIV/0!</v>
      </c>
      <c r="E80">
        <v>0.6145833333825671</v>
      </c>
      <c r="F80">
        <v>6</v>
      </c>
      <c r="G80" s="34">
        <v>12</v>
      </c>
      <c r="H80" s="9">
        <f>F80/G80</f>
        <v>0.5</v>
      </c>
      <c r="I80" s="34">
        <v>7</v>
      </c>
      <c r="J80" s="32">
        <v>9</v>
      </c>
      <c r="K80" s="9">
        <f t="shared" ref="K80:K85" si="18">I80/J80</f>
        <v>0.77777777777777779</v>
      </c>
      <c r="M80" s="34"/>
      <c r="N80" s="9" t="e">
        <f t="shared" ref="N80:N85" si="19">L80/M80</f>
        <v>#DIV/0!</v>
      </c>
      <c r="P80" s="34"/>
      <c r="Q80" s="9" t="e">
        <f t="shared" ref="Q80:Q85" si="20">O80/P80</f>
        <v>#DIV/0!</v>
      </c>
      <c r="S80" s="34"/>
      <c r="T80" s="9" t="e">
        <f t="shared" si="16"/>
        <v>#DIV/0!</v>
      </c>
      <c r="V80" s="34"/>
      <c r="W80" s="9" t="e">
        <f t="shared" si="17"/>
        <v>#DIV/0!</v>
      </c>
      <c r="Y80" s="32"/>
      <c r="Z80" s="32"/>
    </row>
    <row r="81" spans="1:26" ht="16" x14ac:dyDescent="0.4">
      <c r="A81" s="86" t="s">
        <v>91</v>
      </c>
      <c r="B81" s="38" t="e">
        <f t="shared" si="14"/>
        <v>#DIV/0!</v>
      </c>
      <c r="E81">
        <v>0.5700757574703339</v>
      </c>
      <c r="G81" s="34"/>
      <c r="H81" s="9" t="e">
        <f>F81/G81</f>
        <v>#DIV/0!</v>
      </c>
      <c r="J81" s="34"/>
      <c r="K81" s="9" t="e">
        <f t="shared" si="18"/>
        <v>#DIV/0!</v>
      </c>
      <c r="M81" s="34"/>
      <c r="N81" s="9" t="e">
        <f t="shared" si="19"/>
        <v>#DIV/0!</v>
      </c>
      <c r="P81" s="34"/>
      <c r="Q81" s="9" t="e">
        <f t="shared" si="20"/>
        <v>#DIV/0!</v>
      </c>
      <c r="S81" s="34"/>
      <c r="T81" s="9" t="e">
        <f t="shared" si="16"/>
        <v>#DIV/0!</v>
      </c>
      <c r="V81" s="34"/>
      <c r="W81" s="9" t="e">
        <f t="shared" si="17"/>
        <v>#DIV/0!</v>
      </c>
      <c r="Y81" s="32"/>
      <c r="Z81" s="32"/>
    </row>
    <row r="82" spans="1:26" ht="16" x14ac:dyDescent="0.4">
      <c r="A82" s="86" t="s">
        <v>92</v>
      </c>
      <c r="B82" s="38" t="e">
        <f t="shared" si="14"/>
        <v>#DIV/0!</v>
      </c>
      <c r="E82">
        <v>0.54899766891254054</v>
      </c>
      <c r="G82" s="34"/>
      <c r="H82" s="9" t="e">
        <f>F82/G82</f>
        <v>#DIV/0!</v>
      </c>
      <c r="J82" s="34"/>
      <c r="K82" s="9" t="e">
        <f t="shared" si="18"/>
        <v>#DIV/0!</v>
      </c>
      <c r="M82" s="34"/>
      <c r="N82" s="9" t="e">
        <f t="shared" si="19"/>
        <v>#DIV/0!</v>
      </c>
      <c r="P82" s="34"/>
      <c r="Q82" s="9" t="e">
        <f t="shared" si="20"/>
        <v>#DIV/0!</v>
      </c>
      <c r="S82" s="34"/>
      <c r="T82" s="9" t="e">
        <f t="shared" si="16"/>
        <v>#DIV/0!</v>
      </c>
      <c r="V82" s="34"/>
      <c r="W82" s="9" t="e">
        <f t="shared" si="17"/>
        <v>#DIV/0!</v>
      </c>
      <c r="Y82" s="32"/>
      <c r="Z82" s="32"/>
    </row>
    <row r="83" spans="1:26" ht="16" x14ac:dyDescent="0.4">
      <c r="A83" s="86" t="s">
        <v>93</v>
      </c>
      <c r="B83" s="38" t="e">
        <f t="shared" si="14"/>
        <v>#DIV/0!</v>
      </c>
      <c r="E83">
        <v>0.60982142865490785</v>
      </c>
      <c r="G83" s="34"/>
      <c r="H83" s="9" t="e">
        <f>F83/G83</f>
        <v>#DIV/0!</v>
      </c>
      <c r="J83" s="34"/>
      <c r="K83" s="9" t="e">
        <f t="shared" si="18"/>
        <v>#DIV/0!</v>
      </c>
      <c r="M83" s="34"/>
      <c r="N83" s="9" t="e">
        <f t="shared" si="19"/>
        <v>#DIV/0!</v>
      </c>
      <c r="P83" s="34"/>
      <c r="Q83" s="9" t="e">
        <f t="shared" si="20"/>
        <v>#DIV/0!</v>
      </c>
      <c r="S83" s="34"/>
      <c r="T83" s="9" t="e">
        <f t="shared" si="16"/>
        <v>#DIV/0!</v>
      </c>
      <c r="V83" s="34"/>
      <c r="W83" s="9" t="e">
        <f t="shared" si="17"/>
        <v>#DIV/0!</v>
      </c>
      <c r="Y83" s="32"/>
      <c r="Z83" s="32"/>
    </row>
    <row r="84" spans="1:26" ht="16" x14ac:dyDescent="0.4">
      <c r="A84" s="86" t="s">
        <v>94</v>
      </c>
      <c r="B84" s="38">
        <f t="shared" si="14"/>
        <v>0.53934772175420032</v>
      </c>
      <c r="E84">
        <v>0.53934772175420032</v>
      </c>
      <c r="F84">
        <v>140</v>
      </c>
      <c r="G84" s="34">
        <v>281</v>
      </c>
      <c r="H84" s="9">
        <f t="shared" ref="H84:H89" si="21">F84/G84</f>
        <v>0.49822064056939502</v>
      </c>
      <c r="I84">
        <v>172</v>
      </c>
      <c r="J84" s="34">
        <f>62+249</f>
        <v>311</v>
      </c>
      <c r="K84" s="9">
        <f t="shared" si="18"/>
        <v>0.55305466237942125</v>
      </c>
      <c r="L84">
        <v>154</v>
      </c>
      <c r="M84" s="34">
        <f>98+125</f>
        <v>223</v>
      </c>
      <c r="N84" s="9">
        <f t="shared" si="19"/>
        <v>0.6905829596412556</v>
      </c>
      <c r="O84">
        <v>102</v>
      </c>
      <c r="P84" s="34">
        <f>58+146</f>
        <v>204</v>
      </c>
      <c r="Q84" s="9">
        <f t="shared" si="20"/>
        <v>0.5</v>
      </c>
      <c r="R84">
        <v>104</v>
      </c>
      <c r="S84" s="34">
        <f>78+127</f>
        <v>205</v>
      </c>
      <c r="T84" s="9">
        <f t="shared" si="16"/>
        <v>0.50731707317073171</v>
      </c>
      <c r="U84">
        <v>93</v>
      </c>
      <c r="V84" s="34">
        <f>75+116</f>
        <v>191</v>
      </c>
      <c r="W84" s="9">
        <f t="shared" si="17"/>
        <v>0.48691099476439792</v>
      </c>
      <c r="Y84" s="34"/>
      <c r="Z84" s="32"/>
    </row>
    <row r="85" spans="1:26" ht="16" x14ac:dyDescent="0.4">
      <c r="A85" s="86" t="s">
        <v>95</v>
      </c>
      <c r="B85" s="38">
        <f t="shared" si="14"/>
        <v>0.62743063470528926</v>
      </c>
      <c r="E85">
        <v>0.63766094063166689</v>
      </c>
      <c r="F85">
        <v>211</v>
      </c>
      <c r="G85" s="34">
        <f>169+218</f>
        <v>387</v>
      </c>
      <c r="H85" s="9">
        <f t="shared" si="21"/>
        <v>0.5452196382428941</v>
      </c>
      <c r="I85">
        <v>309</v>
      </c>
      <c r="J85" s="34">
        <f>160+258</f>
        <v>418</v>
      </c>
      <c r="K85" s="9">
        <f t="shared" si="18"/>
        <v>0.73923444976076558</v>
      </c>
      <c r="L85">
        <v>257</v>
      </c>
      <c r="M85" s="34">
        <f>145+295</f>
        <v>440</v>
      </c>
      <c r="N85" s="9">
        <f t="shared" si="19"/>
        <v>0.58409090909090911</v>
      </c>
      <c r="O85">
        <v>221</v>
      </c>
      <c r="P85" s="34">
        <f>136+188</f>
        <v>324</v>
      </c>
      <c r="Q85" s="9">
        <f t="shared" si="20"/>
        <v>0.6820987654320988</v>
      </c>
      <c r="R85">
        <v>176</v>
      </c>
      <c r="S85" s="34">
        <f>170+174</f>
        <v>344</v>
      </c>
      <c r="T85" s="9">
        <f t="shared" si="16"/>
        <v>0.51162790697674421</v>
      </c>
      <c r="U85">
        <v>243</v>
      </c>
      <c r="V85" s="34">
        <f>195+151</f>
        <v>346</v>
      </c>
      <c r="W85" s="9">
        <f t="shared" si="17"/>
        <v>0.70231213872832365</v>
      </c>
      <c r="Y85" s="34"/>
      <c r="Z85" s="32"/>
    </row>
    <row r="86" spans="1:26" ht="16" x14ac:dyDescent="0.4">
      <c r="A86" s="86" t="s">
        <v>96</v>
      </c>
      <c r="B86" s="38">
        <f t="shared" si="14"/>
        <v>0.59405940594059403</v>
      </c>
      <c r="E86">
        <v>0.59405940594059403</v>
      </c>
      <c r="F86">
        <f>20+8+92</f>
        <v>120</v>
      </c>
      <c r="G86" s="34">
        <f>30+10+162</f>
        <v>202</v>
      </c>
      <c r="H86" s="9">
        <f t="shared" si="21"/>
        <v>0.59405940594059403</v>
      </c>
      <c r="J86" s="34"/>
      <c r="K86" s="9"/>
      <c r="M86" s="34"/>
      <c r="N86" s="9"/>
      <c r="P86" s="34"/>
      <c r="Q86" s="9"/>
      <c r="S86" s="34"/>
      <c r="T86" s="9"/>
      <c r="V86" s="34"/>
      <c r="W86" s="9"/>
      <c r="Y86" s="34"/>
      <c r="Z86" s="32"/>
    </row>
    <row r="87" spans="1:26" ht="16" x14ac:dyDescent="0.4">
      <c r="A87" s="86" t="s">
        <v>97</v>
      </c>
      <c r="B87" s="38">
        <f t="shared" si="14"/>
        <v>0.59859154929577463</v>
      </c>
      <c r="E87">
        <v>0.59859154929577463</v>
      </c>
      <c r="F87">
        <v>85</v>
      </c>
      <c r="G87" s="34">
        <v>142</v>
      </c>
      <c r="H87" s="9">
        <f t="shared" si="21"/>
        <v>0.59859154929577463</v>
      </c>
      <c r="J87" s="34"/>
      <c r="K87" s="9"/>
      <c r="M87" s="34"/>
      <c r="N87" s="9"/>
      <c r="P87" s="34"/>
      <c r="Q87" s="9"/>
      <c r="S87" s="34"/>
      <c r="T87" s="9"/>
      <c r="V87" s="34"/>
      <c r="W87" s="9"/>
      <c r="Y87" s="34"/>
      <c r="Z87" s="32"/>
    </row>
    <row r="88" spans="1:26" ht="16" x14ac:dyDescent="0.4">
      <c r="A88" s="86" t="s">
        <v>98</v>
      </c>
      <c r="B88" s="38">
        <f t="shared" si="14"/>
        <v>0.56818181818181823</v>
      </c>
      <c r="E88">
        <v>0.56818181818181823</v>
      </c>
      <c r="F88">
        <f>20+12+93</f>
        <v>125</v>
      </c>
      <c r="G88" s="34">
        <f>40+15+165</f>
        <v>220</v>
      </c>
      <c r="H88" s="9">
        <f t="shared" si="21"/>
        <v>0.56818181818181823</v>
      </c>
      <c r="J88" s="34"/>
      <c r="K88" s="9"/>
      <c r="M88" s="34"/>
      <c r="N88" s="9"/>
      <c r="P88" s="34"/>
      <c r="Q88" s="9"/>
      <c r="S88" s="34"/>
      <c r="T88" s="9"/>
      <c r="V88" s="34"/>
      <c r="W88" s="9"/>
      <c r="Y88" s="34"/>
      <c r="Z88" s="32"/>
    </row>
    <row r="89" spans="1:26" ht="16" x14ac:dyDescent="0.4">
      <c r="A89" s="92" t="s">
        <v>99</v>
      </c>
      <c r="B89" s="38">
        <f t="shared" si="14"/>
        <v>0.60209424083769636</v>
      </c>
      <c r="E89">
        <v>0.60209424083769636</v>
      </c>
      <c r="F89">
        <f>15+100</f>
        <v>115</v>
      </c>
      <c r="G89" s="34">
        <f>15+176</f>
        <v>191</v>
      </c>
      <c r="H89" s="9">
        <f t="shared" si="21"/>
        <v>0.60209424083769636</v>
      </c>
      <c r="J89" s="34"/>
      <c r="K89" s="9"/>
      <c r="M89" s="34"/>
      <c r="N89" s="9"/>
      <c r="P89" s="34"/>
      <c r="Q89" s="9"/>
      <c r="S89" s="34"/>
      <c r="T89" s="9"/>
      <c r="V89" s="34"/>
      <c r="W89" s="9"/>
      <c r="Y89" s="34"/>
      <c r="Z89" s="32"/>
    </row>
    <row r="90" spans="1:26" x14ac:dyDescent="0.35">
      <c r="B90" s="6"/>
    </row>
    <row r="91" spans="1:26" x14ac:dyDescent="0.35">
      <c r="B9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Cell Counts</vt:lpstr>
      <vt:lpstr>Filtered Total Cell Counts</vt:lpstr>
      <vt:lpstr>Neuron to Glia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Stec, Helen</dc:creator>
  <cp:lastModifiedBy>Stec, Helen</cp:lastModifiedBy>
  <dcterms:created xsi:type="dcterms:W3CDTF">2025-03-14T12:31:46Z</dcterms:created>
  <dcterms:modified xsi:type="dcterms:W3CDTF">2025-04-17T05:18:57Z</dcterms:modified>
</cp:coreProperties>
</file>