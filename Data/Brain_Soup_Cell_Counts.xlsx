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GitHub\BrainGonadTradeoff\Data\"/>
    </mc:Choice>
  </mc:AlternateContent>
  <xr:revisionPtr revIDLastSave="0" documentId="8_{A45ADA03-5769-4B19-BABD-5879B11733D9}" xr6:coauthVersionLast="47" xr6:coauthVersionMax="47" xr10:uidLastSave="{00000000-0000-0000-0000-000000000000}"/>
  <bookViews>
    <workbookView xWindow="-110" yWindow="-110" windowWidth="25820" windowHeight="15500" firstSheet="2" activeTab="2" xr2:uid="{1595E020-4D82-4506-AB13-A6CC8D8E83A5}"/>
  </bookViews>
  <sheets>
    <sheet name="Filtered Total Counts (CV&lt;.10)" sheetId="2" r:id="rId1"/>
    <sheet name="Filtered Total Counts (CV&lt;.15)" sheetId="4" r:id="rId2"/>
    <sheet name="Total Cell Counts" sheetId="1" r:id="rId3"/>
    <sheet name="Neuron to Glia Rati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T3" i="3"/>
  <c r="T4" i="3"/>
  <c r="T5" i="3"/>
  <c r="T6" i="3"/>
  <c r="T7" i="3"/>
  <c r="E7" i="3" s="1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E27" i="3" s="1"/>
  <c r="T28" i="3"/>
  <c r="T29" i="3"/>
  <c r="T30" i="3"/>
  <c r="T31" i="3"/>
  <c r="T32" i="3"/>
  <c r="T33" i="3"/>
  <c r="T34" i="3"/>
  <c r="T35" i="3"/>
  <c r="T36" i="3"/>
  <c r="T37" i="3"/>
  <c r="T38" i="3"/>
  <c r="T39" i="3"/>
  <c r="E39" i="3" s="1"/>
  <c r="T40" i="3"/>
  <c r="T41" i="3"/>
  <c r="T42" i="3"/>
  <c r="T43" i="3"/>
  <c r="T44" i="3"/>
  <c r="T45" i="3"/>
  <c r="T46" i="3"/>
  <c r="T47" i="3"/>
  <c r="T48" i="3"/>
  <c r="T49" i="3"/>
  <c r="T50" i="3"/>
  <c r="T51" i="3"/>
  <c r="E51" i="3" s="1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E67" i="3" s="1"/>
  <c r="T68" i="3"/>
  <c r="T69" i="3"/>
  <c r="T70" i="3"/>
  <c r="T71" i="3"/>
  <c r="T72" i="3"/>
  <c r="T73" i="3"/>
  <c r="T74" i="3"/>
  <c r="T75" i="3"/>
  <c r="T76" i="3"/>
  <c r="T77" i="3"/>
  <c r="T78" i="3"/>
  <c r="T79" i="3"/>
  <c r="E79" i="3" s="1"/>
  <c r="T80" i="3"/>
  <c r="T81" i="3"/>
  <c r="Q3" i="3"/>
  <c r="Q4" i="3"/>
  <c r="E4" i="3" s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E20" i="3" s="1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E36" i="3" s="1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E52" i="3" s="1"/>
  <c r="Q53" i="3"/>
  <c r="Q54" i="3"/>
  <c r="Q55" i="3"/>
  <c r="Q56" i="3"/>
  <c r="Q57" i="3"/>
  <c r="Q58" i="3"/>
  <c r="Q59" i="3"/>
  <c r="Q60" i="3"/>
  <c r="E60" i="3" s="1"/>
  <c r="Q61" i="3"/>
  <c r="Q62" i="3"/>
  <c r="Q63" i="3"/>
  <c r="Q64" i="3"/>
  <c r="Q65" i="3"/>
  <c r="Q66" i="3"/>
  <c r="Q67" i="3"/>
  <c r="Q68" i="3"/>
  <c r="E68" i="3" s="1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H3" i="3"/>
  <c r="E3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W2" i="3"/>
  <c r="T2" i="3"/>
  <c r="Q2" i="3"/>
  <c r="N2" i="3"/>
  <c r="K2" i="3"/>
  <c r="H2" i="3"/>
  <c r="E2" i="3" s="1"/>
  <c r="E5" i="3"/>
  <c r="E6" i="3"/>
  <c r="E11" i="3"/>
  <c r="E12" i="3"/>
  <c r="E13" i="3"/>
  <c r="E14" i="3"/>
  <c r="E19" i="3"/>
  <c r="E21" i="3"/>
  <c r="E22" i="3"/>
  <c r="E28" i="3"/>
  <c r="E29" i="3"/>
  <c r="E30" i="3"/>
  <c r="E35" i="3"/>
  <c r="E37" i="3"/>
  <c r="E38" i="3"/>
  <c r="E44" i="3"/>
  <c r="E45" i="3"/>
  <c r="E46" i="3"/>
  <c r="E53" i="3"/>
  <c r="E54" i="3"/>
  <c r="E61" i="3"/>
  <c r="E62" i="3"/>
  <c r="E69" i="3"/>
  <c r="E70" i="3"/>
  <c r="E76" i="3"/>
  <c r="E77" i="3"/>
  <c r="E78" i="3"/>
  <c r="T78" i="1"/>
  <c r="T61" i="1"/>
  <c r="T41" i="1"/>
  <c r="S41" i="1"/>
  <c r="S36" i="1"/>
  <c r="T36" i="1"/>
  <c r="P36" i="1"/>
  <c r="R36" i="1"/>
  <c r="T2" i="1"/>
  <c r="T38" i="1"/>
  <c r="T39" i="1"/>
  <c r="T40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9" i="1"/>
  <c r="T80" i="1"/>
  <c r="T81" i="1"/>
  <c r="T27" i="1"/>
  <c r="T28" i="1"/>
  <c r="T29" i="1"/>
  <c r="T30" i="1"/>
  <c r="T31" i="1"/>
  <c r="T32" i="1"/>
  <c r="T33" i="1"/>
  <c r="T34" i="1"/>
  <c r="T35" i="1"/>
  <c r="T3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S2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7" i="1"/>
  <c r="S38" i="1"/>
  <c r="S39" i="1"/>
  <c r="S40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O2" i="1"/>
  <c r="E81" i="3" l="1"/>
  <c r="E73" i="3"/>
  <c r="E65" i="3"/>
  <c r="E57" i="3"/>
  <c r="E49" i="3"/>
  <c r="E41" i="3"/>
  <c r="E33" i="3"/>
  <c r="E25" i="3"/>
  <c r="E17" i="3"/>
  <c r="E9" i="3"/>
  <c r="E75" i="3"/>
  <c r="E59" i="3"/>
  <c r="E43" i="3"/>
  <c r="E71" i="3"/>
  <c r="E47" i="3"/>
  <c r="E15" i="3"/>
  <c r="E80" i="3"/>
  <c r="E72" i="3"/>
  <c r="E64" i="3"/>
  <c r="E56" i="3"/>
  <c r="E48" i="3"/>
  <c r="E40" i="3"/>
  <c r="E32" i="3"/>
  <c r="E24" i="3"/>
  <c r="E16" i="3"/>
  <c r="E8" i="3"/>
  <c r="E63" i="3"/>
  <c r="E55" i="3"/>
  <c r="E31" i="3"/>
  <c r="E23" i="3"/>
  <c r="E74" i="3"/>
  <c r="E66" i="3"/>
  <c r="E58" i="3"/>
  <c r="E50" i="3"/>
  <c r="E42" i="3"/>
  <c r="E34" i="3"/>
  <c r="E26" i="3"/>
  <c r="E18" i="3"/>
  <c r="E10" i="3"/>
  <c r="P2" i="1"/>
  <c r="M89" i="4" l="1"/>
  <c r="N89" i="4" s="1"/>
  <c r="M88" i="4"/>
  <c r="N88" i="4" s="1"/>
  <c r="M87" i="4"/>
  <c r="M86" i="4"/>
  <c r="N86" i="4" s="1"/>
  <c r="M85" i="4"/>
  <c r="N85" i="4" s="1"/>
  <c r="M84" i="4"/>
  <c r="N84" i="4" s="1"/>
  <c r="M83" i="4"/>
  <c r="N83" i="4" s="1"/>
  <c r="M82" i="4"/>
  <c r="N82" i="4" s="1"/>
  <c r="M81" i="4"/>
  <c r="N81" i="4" s="1"/>
  <c r="M80" i="4"/>
  <c r="N80" i="4" s="1"/>
  <c r="M78" i="4"/>
  <c r="N78" i="4" s="1"/>
  <c r="M77" i="4"/>
  <c r="N77" i="4" s="1"/>
  <c r="M76" i="4"/>
  <c r="N76" i="4" s="1"/>
  <c r="M75" i="4"/>
  <c r="N75" i="4" s="1"/>
  <c r="M74" i="4"/>
  <c r="N74" i="4" s="1"/>
  <c r="M73" i="4"/>
  <c r="N73" i="4" s="1"/>
  <c r="M72" i="4"/>
  <c r="N72" i="4" s="1"/>
  <c r="M71" i="4"/>
  <c r="N71" i="4" s="1"/>
  <c r="M70" i="4"/>
  <c r="N70" i="4" s="1"/>
  <c r="M69" i="4"/>
  <c r="N69" i="4" s="1"/>
  <c r="C67" i="4"/>
  <c r="M67" i="4" s="1"/>
  <c r="N67" i="4" s="1"/>
  <c r="M66" i="4"/>
  <c r="N66" i="4" s="1"/>
  <c r="M65" i="4"/>
  <c r="N65" i="4" s="1"/>
  <c r="M64" i="4"/>
  <c r="N64" i="4" s="1"/>
  <c r="M63" i="4"/>
  <c r="N63" i="4" s="1"/>
  <c r="M62" i="4"/>
  <c r="N62" i="4" s="1"/>
  <c r="M61" i="4"/>
  <c r="N61" i="4" s="1"/>
  <c r="M60" i="4"/>
  <c r="N60" i="4" s="1"/>
  <c r="M59" i="4"/>
  <c r="N59" i="4" s="1"/>
  <c r="M58" i="4"/>
  <c r="N58" i="4" s="1"/>
  <c r="M56" i="4"/>
  <c r="N56" i="4" s="1"/>
  <c r="M55" i="4"/>
  <c r="N55" i="4" s="1"/>
  <c r="M54" i="4"/>
  <c r="N54" i="4" s="1"/>
  <c r="M53" i="4"/>
  <c r="N53" i="4" s="1"/>
  <c r="M52" i="4"/>
  <c r="N52" i="4" s="1"/>
  <c r="M51" i="4"/>
  <c r="N51" i="4" s="1"/>
  <c r="M50" i="4"/>
  <c r="N50" i="4" s="1"/>
  <c r="M49" i="4"/>
  <c r="N49" i="4" s="1"/>
  <c r="M48" i="4"/>
  <c r="N48" i="4" s="1"/>
  <c r="M47" i="4"/>
  <c r="N47" i="4" s="1"/>
  <c r="M45" i="4"/>
  <c r="N45" i="4" s="1"/>
  <c r="M44" i="4"/>
  <c r="N44" i="4" s="1"/>
  <c r="M43" i="4"/>
  <c r="N43" i="4" s="1"/>
  <c r="M42" i="4"/>
  <c r="N42" i="4" s="1"/>
  <c r="M41" i="4"/>
  <c r="N41" i="4" s="1"/>
  <c r="M40" i="4"/>
  <c r="N40" i="4" s="1"/>
  <c r="M39" i="4"/>
  <c r="N39" i="4" s="1"/>
  <c r="M38" i="4"/>
  <c r="N38" i="4" s="1"/>
  <c r="M37" i="4"/>
  <c r="N37" i="4" s="1"/>
  <c r="M36" i="4"/>
  <c r="N36" i="4" s="1"/>
  <c r="M34" i="4"/>
  <c r="N34" i="4" s="1"/>
  <c r="M33" i="4"/>
  <c r="N3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2" i="4"/>
  <c r="N12" i="4" s="1"/>
  <c r="M11" i="4"/>
  <c r="N11" i="4" s="1"/>
  <c r="M10" i="4"/>
  <c r="N10" i="4" s="1"/>
  <c r="M9" i="4"/>
  <c r="N9" i="4" s="1"/>
  <c r="M8" i="4"/>
  <c r="N8" i="4" s="1"/>
  <c r="M7" i="4"/>
  <c r="N7" i="4" s="1"/>
  <c r="M6" i="4"/>
  <c r="N6" i="4" s="1"/>
  <c r="M5" i="4"/>
  <c r="N5" i="4" s="1"/>
  <c r="M4" i="4"/>
  <c r="N4" i="4" s="1"/>
  <c r="M3" i="4"/>
  <c r="N3" i="4" s="1"/>
  <c r="O89" i="4"/>
  <c r="P89" i="4" s="1"/>
  <c r="O88" i="4"/>
  <c r="O87" i="4"/>
  <c r="P87" i="4" s="1"/>
  <c r="N87" i="4"/>
  <c r="O86" i="4"/>
  <c r="O85" i="4"/>
  <c r="O84" i="4"/>
  <c r="O83" i="4"/>
  <c r="O82" i="4"/>
  <c r="O81" i="4"/>
  <c r="O80" i="4"/>
  <c r="O78" i="4"/>
  <c r="P78" i="4" s="1"/>
  <c r="O77" i="4"/>
  <c r="O76" i="4"/>
  <c r="O75" i="4"/>
  <c r="O74" i="4"/>
  <c r="O73" i="4"/>
  <c r="O72" i="4"/>
  <c r="O71" i="4"/>
  <c r="O70" i="4"/>
  <c r="O69" i="4"/>
  <c r="O66" i="4"/>
  <c r="O65" i="4"/>
  <c r="O64" i="4"/>
  <c r="O63" i="4"/>
  <c r="O62" i="4"/>
  <c r="O61" i="4"/>
  <c r="O60" i="4"/>
  <c r="O59" i="4"/>
  <c r="O58" i="4"/>
  <c r="O56" i="4"/>
  <c r="O55" i="4"/>
  <c r="O54" i="4"/>
  <c r="O53" i="4"/>
  <c r="O52" i="4"/>
  <c r="O51" i="4"/>
  <c r="O50" i="4"/>
  <c r="O49" i="4"/>
  <c r="O48" i="4"/>
  <c r="O47" i="4"/>
  <c r="O45" i="4"/>
  <c r="O44" i="4"/>
  <c r="O43" i="4"/>
  <c r="O42" i="4"/>
  <c r="O41" i="4"/>
  <c r="O40" i="4"/>
  <c r="O39" i="4"/>
  <c r="O38" i="4"/>
  <c r="O37" i="4"/>
  <c r="O36" i="4"/>
  <c r="O34" i="4"/>
  <c r="P34" i="4" s="1"/>
  <c r="O33" i="4"/>
  <c r="O32" i="4"/>
  <c r="O31" i="4"/>
  <c r="O30" i="4"/>
  <c r="O29" i="4"/>
  <c r="O28" i="4"/>
  <c r="O27" i="4"/>
  <c r="O26" i="4"/>
  <c r="O25" i="4"/>
  <c r="O23" i="4"/>
  <c r="O22" i="4"/>
  <c r="O21" i="4"/>
  <c r="O20" i="4"/>
  <c r="P20" i="4" s="1"/>
  <c r="O19" i="4"/>
  <c r="O18" i="4"/>
  <c r="O17" i="4"/>
  <c r="O16" i="4"/>
  <c r="O15" i="4"/>
  <c r="O14" i="4"/>
  <c r="O12" i="4"/>
  <c r="O11" i="4"/>
  <c r="O10" i="4"/>
  <c r="O9" i="4"/>
  <c r="O8" i="4"/>
  <c r="O7" i="4"/>
  <c r="O6" i="4"/>
  <c r="O5" i="4"/>
  <c r="O4" i="4"/>
  <c r="P4" i="4" s="1"/>
  <c r="O3" i="4"/>
  <c r="Q41" i="1"/>
  <c r="P12" i="4" l="1"/>
  <c r="P65" i="4"/>
  <c r="P75" i="4"/>
  <c r="P73" i="4"/>
  <c r="P56" i="4"/>
  <c r="P21" i="4"/>
  <c r="P30" i="4"/>
  <c r="P39" i="4"/>
  <c r="P48" i="4"/>
  <c r="P55" i="4"/>
  <c r="P8" i="4"/>
  <c r="P17" i="4"/>
  <c r="P26" i="4"/>
  <c r="P70" i="4"/>
  <c r="P16" i="4"/>
  <c r="P77" i="4"/>
  <c r="P72" i="4"/>
  <c r="P38" i="4"/>
  <c r="P60" i="4"/>
  <c r="P7" i="4"/>
  <c r="P27" i="4"/>
  <c r="P11" i="4"/>
  <c r="P18" i="4"/>
  <c r="P81" i="4"/>
  <c r="P44" i="4"/>
  <c r="P3" i="4"/>
  <c r="P29" i="4"/>
  <c r="P36" i="4"/>
  <c r="P47" i="4"/>
  <c r="P53" i="4"/>
  <c r="P64" i="4"/>
  <c r="P71" i="4"/>
  <c r="P82" i="4"/>
  <c r="P88" i="4"/>
  <c r="P9" i="4"/>
  <c r="P42" i="4"/>
  <c r="P80" i="4"/>
  <c r="P85" i="4"/>
  <c r="P84" i="4"/>
  <c r="P51" i="4"/>
  <c r="P33" i="4"/>
  <c r="P52" i="4"/>
  <c r="P62" i="4"/>
  <c r="P61" i="4"/>
  <c r="P25" i="4"/>
  <c r="P43" i="4"/>
  <c r="P69" i="4"/>
  <c r="P76" i="4"/>
  <c r="P86" i="4"/>
  <c r="P5" i="4"/>
  <c r="P14" i="4"/>
  <c r="P22" i="4"/>
  <c r="P31" i="4"/>
  <c r="P40" i="4"/>
  <c r="P49" i="4"/>
  <c r="P58" i="4"/>
  <c r="P66" i="4"/>
  <c r="P74" i="4"/>
  <c r="P6" i="4"/>
  <c r="P10" i="4"/>
  <c r="P15" i="4"/>
  <c r="P19" i="4"/>
  <c r="P23" i="4"/>
  <c r="P28" i="4"/>
  <c r="P32" i="4"/>
  <c r="P37" i="4"/>
  <c r="P41" i="4"/>
  <c r="P45" i="4"/>
  <c r="P50" i="4"/>
  <c r="P54" i="4"/>
  <c r="P63" i="4"/>
  <c r="P83" i="4"/>
  <c r="P59" i="4"/>
  <c r="O67" i="4"/>
  <c r="P67" i="4" s="1"/>
  <c r="O89" i="2"/>
  <c r="M89" i="2"/>
  <c r="N89" i="2" s="1"/>
  <c r="O88" i="2"/>
  <c r="M88" i="2"/>
  <c r="N88" i="2" s="1"/>
  <c r="O87" i="2"/>
  <c r="M87" i="2"/>
  <c r="N87" i="2" s="1"/>
  <c r="O86" i="2"/>
  <c r="M86" i="2"/>
  <c r="N86" i="2" s="1"/>
  <c r="O85" i="2"/>
  <c r="M85" i="2"/>
  <c r="N85" i="2" s="1"/>
  <c r="O84" i="2"/>
  <c r="M84" i="2"/>
  <c r="N84" i="2" s="1"/>
  <c r="O83" i="2"/>
  <c r="M83" i="2"/>
  <c r="N83" i="2" s="1"/>
  <c r="O82" i="2"/>
  <c r="M82" i="2"/>
  <c r="N82" i="2" s="1"/>
  <c r="O81" i="2"/>
  <c r="M81" i="2"/>
  <c r="N81" i="2" s="1"/>
  <c r="O80" i="2"/>
  <c r="M80" i="2"/>
  <c r="N80" i="2" s="1"/>
  <c r="O78" i="2"/>
  <c r="M78" i="2"/>
  <c r="N78" i="2" s="1"/>
  <c r="O77" i="2"/>
  <c r="M77" i="2"/>
  <c r="N77" i="2" s="1"/>
  <c r="O76" i="2"/>
  <c r="M76" i="2"/>
  <c r="N76" i="2" s="1"/>
  <c r="O75" i="2"/>
  <c r="M75" i="2"/>
  <c r="N75" i="2" s="1"/>
  <c r="O74" i="2"/>
  <c r="M74" i="2"/>
  <c r="N74" i="2" s="1"/>
  <c r="O73" i="2"/>
  <c r="M73" i="2"/>
  <c r="N73" i="2" s="1"/>
  <c r="O72" i="2"/>
  <c r="M72" i="2"/>
  <c r="N72" i="2" s="1"/>
  <c r="O71" i="2"/>
  <c r="M71" i="2"/>
  <c r="N71" i="2" s="1"/>
  <c r="O70" i="2"/>
  <c r="M70" i="2"/>
  <c r="N70" i="2" s="1"/>
  <c r="O69" i="2"/>
  <c r="M69" i="2"/>
  <c r="N69" i="2" s="1"/>
  <c r="C67" i="2"/>
  <c r="O67" i="2" s="1"/>
  <c r="O66" i="2"/>
  <c r="M66" i="2"/>
  <c r="N66" i="2" s="1"/>
  <c r="O65" i="2"/>
  <c r="M65" i="2"/>
  <c r="O64" i="2"/>
  <c r="M64" i="2"/>
  <c r="N64" i="2" s="1"/>
  <c r="O63" i="2"/>
  <c r="M63" i="2"/>
  <c r="O62" i="2"/>
  <c r="M62" i="2"/>
  <c r="N62" i="2" s="1"/>
  <c r="O61" i="2"/>
  <c r="M61" i="2"/>
  <c r="O60" i="2"/>
  <c r="M60" i="2"/>
  <c r="N60" i="2" s="1"/>
  <c r="O59" i="2"/>
  <c r="M59" i="2"/>
  <c r="O58" i="2"/>
  <c r="M58" i="2"/>
  <c r="N58" i="2" s="1"/>
  <c r="O56" i="2"/>
  <c r="M56" i="2"/>
  <c r="O55" i="2"/>
  <c r="M55" i="2"/>
  <c r="N55" i="2" s="1"/>
  <c r="O54" i="2"/>
  <c r="M54" i="2"/>
  <c r="O53" i="2"/>
  <c r="M53" i="2"/>
  <c r="N53" i="2" s="1"/>
  <c r="O52" i="2"/>
  <c r="M52" i="2"/>
  <c r="O51" i="2"/>
  <c r="M51" i="2"/>
  <c r="N51" i="2" s="1"/>
  <c r="O50" i="2"/>
  <c r="M50" i="2"/>
  <c r="O49" i="2"/>
  <c r="M49" i="2"/>
  <c r="N49" i="2" s="1"/>
  <c r="O48" i="2"/>
  <c r="M48" i="2"/>
  <c r="O47" i="2"/>
  <c r="M47" i="2"/>
  <c r="N47" i="2" s="1"/>
  <c r="O45" i="2"/>
  <c r="M45" i="2"/>
  <c r="O44" i="2"/>
  <c r="M44" i="2"/>
  <c r="N44" i="2" s="1"/>
  <c r="O43" i="2"/>
  <c r="M43" i="2"/>
  <c r="O42" i="2"/>
  <c r="M42" i="2"/>
  <c r="N42" i="2" s="1"/>
  <c r="O41" i="2"/>
  <c r="M41" i="2"/>
  <c r="O40" i="2"/>
  <c r="M40" i="2"/>
  <c r="N40" i="2" s="1"/>
  <c r="O39" i="2"/>
  <c r="M39" i="2"/>
  <c r="O38" i="2"/>
  <c r="M38" i="2"/>
  <c r="N38" i="2" s="1"/>
  <c r="O37" i="2"/>
  <c r="M37" i="2"/>
  <c r="O36" i="2"/>
  <c r="M36" i="2"/>
  <c r="N36" i="2" s="1"/>
  <c r="O34" i="2"/>
  <c r="M34" i="2"/>
  <c r="O33" i="2"/>
  <c r="M33" i="2"/>
  <c r="N33" i="2" s="1"/>
  <c r="O32" i="2"/>
  <c r="M32" i="2"/>
  <c r="O31" i="2"/>
  <c r="M31" i="2"/>
  <c r="N31" i="2" s="1"/>
  <c r="O30" i="2"/>
  <c r="M30" i="2"/>
  <c r="O29" i="2"/>
  <c r="M29" i="2"/>
  <c r="N29" i="2" s="1"/>
  <c r="O28" i="2"/>
  <c r="M28" i="2"/>
  <c r="O27" i="2"/>
  <c r="M27" i="2"/>
  <c r="N27" i="2" s="1"/>
  <c r="O26" i="2"/>
  <c r="M26" i="2"/>
  <c r="O25" i="2"/>
  <c r="M25" i="2"/>
  <c r="N25" i="2" s="1"/>
  <c r="O23" i="2"/>
  <c r="M23" i="2"/>
  <c r="N23" i="2" s="1"/>
  <c r="O22" i="2"/>
  <c r="M22" i="2"/>
  <c r="N22" i="2" s="1"/>
  <c r="O21" i="2"/>
  <c r="M21" i="2"/>
  <c r="N21" i="2" s="1"/>
  <c r="O20" i="2"/>
  <c r="M20" i="2"/>
  <c r="N20" i="2" s="1"/>
  <c r="O19" i="2"/>
  <c r="M19" i="2"/>
  <c r="N19" i="2" s="1"/>
  <c r="O18" i="2"/>
  <c r="M18" i="2"/>
  <c r="N18" i="2" s="1"/>
  <c r="O17" i="2"/>
  <c r="M17" i="2"/>
  <c r="N17" i="2" s="1"/>
  <c r="O16" i="2"/>
  <c r="M16" i="2"/>
  <c r="N16" i="2" s="1"/>
  <c r="O15" i="2"/>
  <c r="M15" i="2"/>
  <c r="N15" i="2" s="1"/>
  <c r="O14" i="2"/>
  <c r="M14" i="2"/>
  <c r="N14" i="2" s="1"/>
  <c r="O12" i="2"/>
  <c r="M12" i="2"/>
  <c r="N12" i="2" s="1"/>
  <c r="O11" i="2"/>
  <c r="M11" i="2"/>
  <c r="N11" i="2" s="1"/>
  <c r="O10" i="2"/>
  <c r="M10" i="2"/>
  <c r="N10" i="2" s="1"/>
  <c r="O9" i="2"/>
  <c r="M9" i="2"/>
  <c r="N9" i="2" s="1"/>
  <c r="O8" i="2"/>
  <c r="M8" i="2"/>
  <c r="N8" i="2" s="1"/>
  <c r="O7" i="2"/>
  <c r="M7" i="2"/>
  <c r="N7" i="2" s="1"/>
  <c r="O6" i="2"/>
  <c r="M6" i="2"/>
  <c r="N6" i="2" s="1"/>
  <c r="O5" i="2"/>
  <c r="M5" i="2"/>
  <c r="N5" i="2" s="1"/>
  <c r="O4" i="2"/>
  <c r="M4" i="2"/>
  <c r="N4" i="2" s="1"/>
  <c r="O3" i="2"/>
  <c r="M3" i="2"/>
  <c r="N3" i="2" s="1"/>
  <c r="Q81" i="1"/>
  <c r="O81" i="1"/>
  <c r="P81" i="1" s="1"/>
  <c r="Q80" i="1"/>
  <c r="O80" i="1"/>
  <c r="P80" i="1" s="1"/>
  <c r="Q79" i="1"/>
  <c r="O79" i="1"/>
  <c r="P79" i="1" s="1"/>
  <c r="Q78" i="1"/>
  <c r="O78" i="1"/>
  <c r="P78" i="1" s="1"/>
  <c r="Q77" i="1"/>
  <c r="O77" i="1"/>
  <c r="P77" i="1" s="1"/>
  <c r="Q76" i="1"/>
  <c r="O76" i="1"/>
  <c r="P76" i="1" s="1"/>
  <c r="Q75" i="1"/>
  <c r="O75" i="1"/>
  <c r="P75" i="1" s="1"/>
  <c r="Q74" i="1"/>
  <c r="O74" i="1"/>
  <c r="P74" i="1" s="1"/>
  <c r="Q73" i="1"/>
  <c r="O73" i="1"/>
  <c r="P73" i="1" s="1"/>
  <c r="Q72" i="1"/>
  <c r="O72" i="1"/>
  <c r="Q71" i="1"/>
  <c r="O71" i="1"/>
  <c r="P71" i="1" s="1"/>
  <c r="Q70" i="1"/>
  <c r="O70" i="1"/>
  <c r="P70" i="1" s="1"/>
  <c r="Q69" i="1"/>
  <c r="O69" i="1"/>
  <c r="P69" i="1" s="1"/>
  <c r="Q68" i="1"/>
  <c r="O68" i="1"/>
  <c r="P68" i="1" s="1"/>
  <c r="Q67" i="1"/>
  <c r="O67" i="1"/>
  <c r="P67" i="1" s="1"/>
  <c r="Q66" i="1"/>
  <c r="O66" i="1"/>
  <c r="P66" i="1" s="1"/>
  <c r="Q65" i="1"/>
  <c r="O65" i="1"/>
  <c r="P65" i="1" s="1"/>
  <c r="Q64" i="1"/>
  <c r="O64" i="1"/>
  <c r="P64" i="1" s="1"/>
  <c r="Q63" i="1"/>
  <c r="O63" i="1"/>
  <c r="P63" i="1" s="1"/>
  <c r="Q62" i="1"/>
  <c r="O62" i="1"/>
  <c r="P62" i="1" s="1"/>
  <c r="E61" i="1"/>
  <c r="Q61" i="1" s="1"/>
  <c r="Q60" i="1"/>
  <c r="O60" i="1"/>
  <c r="P60" i="1" s="1"/>
  <c r="Q59" i="1"/>
  <c r="O59" i="1"/>
  <c r="P59" i="1" s="1"/>
  <c r="Q58" i="1"/>
  <c r="O58" i="1"/>
  <c r="Q57" i="1"/>
  <c r="O57" i="1"/>
  <c r="P57" i="1" s="1"/>
  <c r="Q56" i="1"/>
  <c r="O56" i="1"/>
  <c r="Q55" i="1"/>
  <c r="O55" i="1"/>
  <c r="P55" i="1" s="1"/>
  <c r="Q54" i="1"/>
  <c r="O54" i="1"/>
  <c r="P54" i="1" s="1"/>
  <c r="Q53" i="1"/>
  <c r="O53" i="1"/>
  <c r="P53" i="1" s="1"/>
  <c r="Q52" i="1"/>
  <c r="O52" i="1"/>
  <c r="Q51" i="1"/>
  <c r="O51" i="1"/>
  <c r="P51" i="1" s="1"/>
  <c r="Q50" i="1"/>
  <c r="O50" i="1"/>
  <c r="P50" i="1" s="1"/>
  <c r="Q49" i="1"/>
  <c r="O49" i="1"/>
  <c r="P49" i="1" s="1"/>
  <c r="Q48" i="1"/>
  <c r="O48" i="1"/>
  <c r="P48" i="1" s="1"/>
  <c r="Q47" i="1"/>
  <c r="O47" i="1"/>
  <c r="P47" i="1" s="1"/>
  <c r="Q46" i="1"/>
  <c r="O46" i="1"/>
  <c r="P46" i="1" s="1"/>
  <c r="Q45" i="1"/>
  <c r="O45" i="1"/>
  <c r="P45" i="1" s="1"/>
  <c r="Q44" i="1"/>
  <c r="O44" i="1"/>
  <c r="P44" i="1" s="1"/>
  <c r="Q43" i="1"/>
  <c r="O43" i="1"/>
  <c r="P43" i="1" s="1"/>
  <c r="Q42" i="1"/>
  <c r="O42" i="1"/>
  <c r="P42" i="1" s="1"/>
  <c r="O41" i="1"/>
  <c r="P41" i="1" s="1"/>
  <c r="Q40" i="1"/>
  <c r="O40" i="1"/>
  <c r="P40" i="1" s="1"/>
  <c r="Q39" i="1"/>
  <c r="O39" i="1"/>
  <c r="P39" i="1" s="1"/>
  <c r="Q38" i="1"/>
  <c r="O38" i="1"/>
  <c r="P38" i="1" s="1"/>
  <c r="Q37" i="1"/>
  <c r="O37" i="1"/>
  <c r="Q36" i="1"/>
  <c r="O36" i="1"/>
  <c r="Q35" i="1"/>
  <c r="O35" i="1"/>
  <c r="P35" i="1" s="1"/>
  <c r="Q34" i="1"/>
  <c r="O34" i="1"/>
  <c r="P34" i="1" s="1"/>
  <c r="Q33" i="1"/>
  <c r="O33" i="1"/>
  <c r="P33" i="1" s="1"/>
  <c r="Q32" i="1"/>
  <c r="O32" i="1"/>
  <c r="P32" i="1" s="1"/>
  <c r="Q31" i="1"/>
  <c r="O31" i="1"/>
  <c r="P31" i="1" s="1"/>
  <c r="Q30" i="1"/>
  <c r="O30" i="1"/>
  <c r="P30" i="1" s="1"/>
  <c r="Q29" i="1"/>
  <c r="O29" i="1"/>
  <c r="P29" i="1" s="1"/>
  <c r="Q28" i="1"/>
  <c r="O28" i="1"/>
  <c r="P28" i="1" s="1"/>
  <c r="Q27" i="1"/>
  <c r="O27" i="1"/>
  <c r="P27" i="1" s="1"/>
  <c r="Q26" i="1"/>
  <c r="O26" i="1"/>
  <c r="P26" i="1" s="1"/>
  <c r="Q25" i="1"/>
  <c r="O25" i="1"/>
  <c r="P25" i="1" s="1"/>
  <c r="Q24" i="1"/>
  <c r="O24" i="1"/>
  <c r="P24" i="1" s="1"/>
  <c r="Q23" i="1"/>
  <c r="O23" i="1"/>
  <c r="P23" i="1" s="1"/>
  <c r="Q22" i="1"/>
  <c r="O22" i="1"/>
  <c r="P22" i="1" s="1"/>
  <c r="Q21" i="1"/>
  <c r="O21" i="1"/>
  <c r="P21" i="1" s="1"/>
  <c r="Q20" i="1"/>
  <c r="O20" i="1"/>
  <c r="P20" i="1" s="1"/>
  <c r="Q19" i="1"/>
  <c r="O19" i="1"/>
  <c r="P19" i="1" s="1"/>
  <c r="Q18" i="1"/>
  <c r="O18" i="1"/>
  <c r="P18" i="1" s="1"/>
  <c r="Q17" i="1"/>
  <c r="O17" i="1"/>
  <c r="P17" i="1" s="1"/>
  <c r="Q16" i="1"/>
  <c r="O16" i="1"/>
  <c r="Q15" i="1"/>
  <c r="O15" i="1"/>
  <c r="P15" i="1" s="1"/>
  <c r="Q14" i="1"/>
  <c r="O14" i="1"/>
  <c r="P14" i="1" s="1"/>
  <c r="Q13" i="1"/>
  <c r="O13" i="1"/>
  <c r="P13" i="1" s="1"/>
  <c r="Q12" i="1"/>
  <c r="O12" i="1"/>
  <c r="P12" i="1" s="1"/>
  <c r="Q11" i="1"/>
  <c r="O11" i="1"/>
  <c r="Q10" i="1"/>
  <c r="O10" i="1"/>
  <c r="P10" i="1" s="1"/>
  <c r="Q9" i="1"/>
  <c r="O9" i="1"/>
  <c r="Q8" i="1"/>
  <c r="O8" i="1"/>
  <c r="P8" i="1" s="1"/>
  <c r="Q7" i="1"/>
  <c r="O7" i="1"/>
  <c r="Q6" i="1"/>
  <c r="O6" i="1"/>
  <c r="P6" i="1" s="1"/>
  <c r="Q5" i="1"/>
  <c r="O5" i="1"/>
  <c r="Q4" i="1"/>
  <c r="O4" i="1"/>
  <c r="P4" i="1" s="1"/>
  <c r="Q3" i="1"/>
  <c r="O3" i="1"/>
  <c r="Q2" i="1"/>
  <c r="R57" i="1" l="1"/>
  <c r="P82" i="2"/>
  <c r="P86" i="2"/>
  <c r="P30" i="2"/>
  <c r="P56" i="2"/>
  <c r="R33" i="1"/>
  <c r="R58" i="1"/>
  <c r="P80" i="2"/>
  <c r="P84" i="2"/>
  <c r="P88" i="2"/>
  <c r="R64" i="1"/>
  <c r="P31" i="2"/>
  <c r="P66" i="2"/>
  <c r="P10" i="2"/>
  <c r="R3" i="1"/>
  <c r="R7" i="1"/>
  <c r="R11" i="1"/>
  <c r="R43" i="1"/>
  <c r="P26" i="2"/>
  <c r="P69" i="2"/>
  <c r="P73" i="2"/>
  <c r="R31" i="1"/>
  <c r="R56" i="1"/>
  <c r="P60" i="2"/>
  <c r="P77" i="2"/>
  <c r="P61" i="2"/>
  <c r="P65" i="2"/>
  <c r="R60" i="1"/>
  <c r="R9" i="1"/>
  <c r="P32" i="2"/>
  <c r="P37" i="2"/>
  <c r="P41" i="2"/>
  <c r="P50" i="2"/>
  <c r="P54" i="2"/>
  <c r="P59" i="2"/>
  <c r="P74" i="2"/>
  <c r="R78" i="1"/>
  <c r="R12" i="1"/>
  <c r="R20" i="1"/>
  <c r="R24" i="1"/>
  <c r="R28" i="1"/>
  <c r="P49" i="2"/>
  <c r="P71" i="2"/>
  <c r="P75" i="2"/>
  <c r="P7" i="2"/>
  <c r="P3" i="2"/>
  <c r="P25" i="2"/>
  <c r="R25" i="1"/>
  <c r="R72" i="1"/>
  <c r="P21" i="2"/>
  <c r="R50" i="1"/>
  <c r="P11" i="2"/>
  <c r="P5" i="2"/>
  <c r="P9" i="2"/>
  <c r="P39" i="2"/>
  <c r="P42" i="2"/>
  <c r="P81" i="2"/>
  <c r="P43" i="2"/>
  <c r="P48" i="2"/>
  <c r="R34" i="1"/>
  <c r="R18" i="1"/>
  <c r="R76" i="1"/>
  <c r="P36" i="2"/>
  <c r="P53" i="2"/>
  <c r="P78" i="2"/>
  <c r="R38" i="1"/>
  <c r="P29" i="2"/>
  <c r="P47" i="2"/>
  <c r="P64" i="2"/>
  <c r="P89" i="2"/>
  <c r="R23" i="1"/>
  <c r="R8" i="1"/>
  <c r="R16" i="1"/>
  <c r="P56" i="1"/>
  <c r="R70" i="1"/>
  <c r="R77" i="1"/>
  <c r="R80" i="1"/>
  <c r="P4" i="2"/>
  <c r="P12" i="2"/>
  <c r="P33" i="2"/>
  <c r="P51" i="2"/>
  <c r="P76" i="2"/>
  <c r="P85" i="2"/>
  <c r="R14" i="1"/>
  <c r="R29" i="1"/>
  <c r="R35" i="1"/>
  <c r="R48" i="1"/>
  <c r="P22" i="2"/>
  <c r="R45" i="1"/>
  <c r="R66" i="1"/>
  <c r="P19" i="2"/>
  <c r="P58" i="2"/>
  <c r="P83" i="2"/>
  <c r="R27" i="1"/>
  <c r="R39" i="1"/>
  <c r="R49" i="1"/>
  <c r="R67" i="1"/>
  <c r="R74" i="1"/>
  <c r="P20" i="2"/>
  <c r="P23" i="2"/>
  <c r="P27" i="2"/>
  <c r="P34" i="2"/>
  <c r="P44" i="2"/>
  <c r="P52" i="2"/>
  <c r="P62" i="2"/>
  <c r="P70" i="2"/>
  <c r="P87" i="2"/>
  <c r="P8" i="2"/>
  <c r="P18" i="2"/>
  <c r="R10" i="1"/>
  <c r="R51" i="1"/>
  <c r="R62" i="1"/>
  <c r="R69" i="1"/>
  <c r="P15" i="2"/>
  <c r="R32" i="1"/>
  <c r="R55" i="1"/>
  <c r="R73" i="1"/>
  <c r="P6" i="2"/>
  <c r="P72" i="2"/>
  <c r="R30" i="1"/>
  <c r="R63" i="1"/>
  <c r="P16" i="2"/>
  <c r="P40" i="2"/>
  <c r="R37" i="1"/>
  <c r="R81" i="1"/>
  <c r="P14" i="2"/>
  <c r="P17" i="2"/>
  <c r="P28" i="2"/>
  <c r="P38" i="2"/>
  <c r="P45" i="2"/>
  <c r="P55" i="2"/>
  <c r="P63" i="2"/>
  <c r="R41" i="1"/>
  <c r="P16" i="1"/>
  <c r="R4" i="1"/>
  <c r="P7" i="1"/>
  <c r="R22" i="1"/>
  <c r="R40" i="1"/>
  <c r="R59" i="1"/>
  <c r="R75" i="1"/>
  <c r="R5" i="1"/>
  <c r="R47" i="1"/>
  <c r="R52" i="1"/>
  <c r="R68" i="1"/>
  <c r="R2" i="1"/>
  <c r="P5" i="1"/>
  <c r="P52" i="1"/>
  <c r="R71" i="1"/>
  <c r="P3" i="1"/>
  <c r="P37" i="1"/>
  <c r="P58" i="1"/>
  <c r="P72" i="1"/>
  <c r="P11" i="1"/>
  <c r="R46" i="1"/>
  <c r="O61" i="1"/>
  <c r="P61" i="1" s="1"/>
  <c r="R6" i="1"/>
  <c r="P9" i="1"/>
  <c r="R26" i="1"/>
  <c r="R44" i="1"/>
  <c r="R53" i="1"/>
  <c r="R65" i="1"/>
  <c r="R79" i="1"/>
  <c r="R42" i="1"/>
  <c r="R54" i="1"/>
  <c r="N26" i="2"/>
  <c r="N28" i="2"/>
  <c r="N30" i="2"/>
  <c r="N32" i="2"/>
  <c r="N34" i="2"/>
  <c r="N37" i="2"/>
  <c r="N39" i="2"/>
  <c r="N41" i="2"/>
  <c r="N43" i="2"/>
  <c r="N45" i="2"/>
  <c r="N48" i="2"/>
  <c r="N50" i="2"/>
  <c r="N52" i="2"/>
  <c r="N54" i="2"/>
  <c r="N56" i="2"/>
  <c r="N59" i="2"/>
  <c r="N61" i="2"/>
  <c r="N63" i="2"/>
  <c r="N65" i="2"/>
  <c r="M67" i="2"/>
  <c r="N67" i="2" s="1"/>
  <c r="R13" i="1"/>
  <c r="R15" i="1"/>
  <c r="R17" i="1"/>
  <c r="R19" i="1"/>
  <c r="R21" i="1"/>
  <c r="R61" i="1" l="1"/>
  <c r="P67" i="2"/>
</calcChain>
</file>

<file path=xl/sharedStrings.xml><?xml version="1.0" encoding="utf-8"?>
<sst xmlns="http://schemas.openxmlformats.org/spreadsheetml/2006/main" count="831" uniqueCount="144">
  <si>
    <t>ID</t>
  </si>
  <si>
    <t>Cell Counts DAPI --&gt;</t>
  </si>
  <si>
    <t>Aliquot 1</t>
  </si>
  <si>
    <t>Aliquot 2</t>
  </si>
  <si>
    <t>Aliquot 3</t>
  </si>
  <si>
    <t>Aliquot 4</t>
  </si>
  <si>
    <t>Aliquot 5</t>
  </si>
  <si>
    <t>Aliquot 6</t>
  </si>
  <si>
    <t>Aliquot 7</t>
  </si>
  <si>
    <t>Aliquot 8</t>
  </si>
  <si>
    <t>Aliquot 9</t>
  </si>
  <si>
    <t>Aliquot 10</t>
  </si>
  <si>
    <t>Average</t>
  </si>
  <si>
    <t>Total Count</t>
  </si>
  <si>
    <t>SD</t>
  </si>
  <si>
    <t>CV</t>
  </si>
  <si>
    <t>Females</t>
  </si>
  <si>
    <t>PPFBC-2</t>
  </si>
  <si>
    <t>PPFBC3</t>
  </si>
  <si>
    <t>PPFBC5</t>
  </si>
  <si>
    <t>PPFBC-6</t>
  </si>
  <si>
    <t>PPFBC-7</t>
  </si>
  <si>
    <t>PPFBC-8</t>
  </si>
  <si>
    <t>PPFBC-9</t>
  </si>
  <si>
    <t>PPFBC-10</t>
  </si>
  <si>
    <t>PPFBC-11</t>
  </si>
  <si>
    <t>PPFBC-12</t>
  </si>
  <si>
    <t>Parae</t>
  </si>
  <si>
    <t>PPBC1</t>
  </si>
  <si>
    <t>PPBC2</t>
  </si>
  <si>
    <t>PPBC3</t>
  </si>
  <si>
    <t>PPBC4</t>
  </si>
  <si>
    <t>PPBC5</t>
  </si>
  <si>
    <t>PPBC6</t>
  </si>
  <si>
    <t>PPBC7</t>
  </si>
  <si>
    <t>PPBC8</t>
  </si>
  <si>
    <t>PPBC9</t>
  </si>
  <si>
    <t>PPBC10</t>
  </si>
  <si>
    <t>Immaculata</t>
  </si>
  <si>
    <t>PIBC-1</t>
  </si>
  <si>
    <t>PIBC-2</t>
  </si>
  <si>
    <t>PIBC-3</t>
  </si>
  <si>
    <t>PIBC-4</t>
  </si>
  <si>
    <t>PIBC-5</t>
  </si>
  <si>
    <t>PIBC-6</t>
  </si>
  <si>
    <t>PIBC-7</t>
  </si>
  <si>
    <t>PIBC-8</t>
  </si>
  <si>
    <t>PIBC-9</t>
  </si>
  <si>
    <t>PIBC-10</t>
  </si>
  <si>
    <t>Blue Melanzona</t>
  </si>
  <si>
    <t>PMBC1</t>
  </si>
  <si>
    <t>PMBC2</t>
  </si>
  <si>
    <t>PMBC3</t>
  </si>
  <si>
    <t>PMBC4</t>
  </si>
  <si>
    <t>PMBC5</t>
  </si>
  <si>
    <t>PMBC6</t>
  </si>
  <si>
    <t>PMBC7</t>
  </si>
  <si>
    <t>PMBC8</t>
  </si>
  <si>
    <t>PMBC9</t>
  </si>
  <si>
    <t>PMBC10</t>
  </si>
  <si>
    <t>Picta Male</t>
  </si>
  <si>
    <t>PpicBC1</t>
  </si>
  <si>
    <t>PpicBC2</t>
  </si>
  <si>
    <t>PpicBC3</t>
  </si>
  <si>
    <t>PpicBC4</t>
  </si>
  <si>
    <t>PpicBC5</t>
  </si>
  <si>
    <t>PpicBC6</t>
  </si>
  <si>
    <t>PpicBC7</t>
  </si>
  <si>
    <t>PpicBC8</t>
  </si>
  <si>
    <t>PpicBC9</t>
  </si>
  <si>
    <t>PpicBC10</t>
  </si>
  <si>
    <t>Reticulata Male</t>
  </si>
  <si>
    <t>PretBC1</t>
  </si>
  <si>
    <t>PretBC2</t>
  </si>
  <si>
    <t>PretBC3</t>
  </si>
  <si>
    <t>PretBC4</t>
  </si>
  <si>
    <t>PretBC5</t>
  </si>
  <si>
    <t>PretBC6</t>
  </si>
  <si>
    <t>PretBC7</t>
  </si>
  <si>
    <t>PretBC8</t>
  </si>
  <si>
    <t>PretBC9</t>
  </si>
  <si>
    <t>PretBC11</t>
  </si>
  <si>
    <t>Female Picta</t>
  </si>
  <si>
    <t>PpicFBC1</t>
  </si>
  <si>
    <t>PpicFBC2</t>
  </si>
  <si>
    <t>PpicFBC4</t>
  </si>
  <si>
    <t>PpicFBC5</t>
  </si>
  <si>
    <t>PpicFBC6</t>
  </si>
  <si>
    <t>PpicFBC7</t>
  </si>
  <si>
    <t>PpicFBC8</t>
  </si>
  <si>
    <t>PpicFBC9</t>
  </si>
  <si>
    <t>PpicFBC10</t>
  </si>
  <si>
    <t>Female Reticulata</t>
  </si>
  <si>
    <t>PretFBC1</t>
  </si>
  <si>
    <t>PretFBC2</t>
  </si>
  <si>
    <t>PretFBC3</t>
  </si>
  <si>
    <t>PretFBC4</t>
  </si>
  <si>
    <t>PretFBC5</t>
  </si>
  <si>
    <t>PretFBC6</t>
  </si>
  <si>
    <t>PretFBC7</t>
  </si>
  <si>
    <t>PretFBC8</t>
  </si>
  <si>
    <t>PretFBC9</t>
  </si>
  <si>
    <t>PretFBC10</t>
  </si>
  <si>
    <t>Average Ratio</t>
  </si>
  <si>
    <t>Aliquot 1: GFP</t>
  </si>
  <si>
    <t>Aliquot 1: DAPI</t>
  </si>
  <si>
    <t>Aliquot 1: GFP:DAPI</t>
  </si>
  <si>
    <t>Aliquot 2: GFP</t>
  </si>
  <si>
    <t>Aliquot 2: DAPI</t>
  </si>
  <si>
    <t>Aliquot 2: GFP:DAPI</t>
  </si>
  <si>
    <t>Aliquot 3: GFP</t>
  </si>
  <si>
    <t>Aliquot 3: DAPI</t>
  </si>
  <si>
    <t>Aliquot 3: GFP:DAPI</t>
  </si>
  <si>
    <t>Aliquot 4: GFP</t>
  </si>
  <si>
    <t>Aliquot 4: DAPI</t>
  </si>
  <si>
    <t>Aliquot 4: GFP:DAPI</t>
  </si>
  <si>
    <t>Aliquot 5: GFP</t>
  </si>
  <si>
    <t>Aliquot 5: DAPI</t>
  </si>
  <si>
    <t>Aliquot 5: GFP:DAPI</t>
  </si>
  <si>
    <t>Aliquot 6: GFP:</t>
  </si>
  <si>
    <t>Aliquot 6: DAPI</t>
  </si>
  <si>
    <t>Aliquot 6: GFP:DAPI</t>
  </si>
  <si>
    <t>DAPI Cell Counts Aliquot 1</t>
  </si>
  <si>
    <t>DAPI Cell Counts Aliquot 2</t>
  </si>
  <si>
    <t>DAPI Cell Counts Aliquot 3</t>
  </si>
  <si>
    <t>DAPI Cell Counts Aliquot 4</t>
  </si>
  <si>
    <t>DAPI Cell Counts Aliquot 5</t>
  </si>
  <si>
    <t>DAPI Cell Counts Aliquot 6</t>
  </si>
  <si>
    <t>DAPI Cell Counts Aliquot 7</t>
  </si>
  <si>
    <t>DAPI Cell Counts Aliquot 8</t>
  </si>
  <si>
    <t>DAPI Cell Counts Aliquot 9</t>
  </si>
  <si>
    <t>DAPI Cell Counts Aliquot 10</t>
  </si>
  <si>
    <t>Species</t>
  </si>
  <si>
    <t>Poecilia parae</t>
  </si>
  <si>
    <t>Poecilia picta</t>
  </si>
  <si>
    <t>Poecilia reticulata</t>
  </si>
  <si>
    <t>Sex</t>
  </si>
  <si>
    <t>Female</t>
  </si>
  <si>
    <t>Male</t>
  </si>
  <si>
    <t>Male_Type</t>
  </si>
  <si>
    <t>Total Count (CV&lt;0.15)</t>
  </si>
  <si>
    <t>Total Count (no CV cutoff)</t>
  </si>
  <si>
    <t>Coefficient of Variation (CV)</t>
  </si>
  <si>
    <t>Total Count (CV&lt;0.10)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</si>
</sst>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D1C1D"/>
      <name val="Aptos Narrow"/>
      <family val="2"/>
      <scheme val="minor"/>
    </font>
    <font>
      <b/>
      <sz val="12"/>
      <color rgb="FF1D1C1D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1D1C1D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sz val="12"/>
      <color rgb="FF00000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2" fillId="0" borderId="0" xfId="0" applyFont="1"/>
    <xf numFmtId="0" fontId="1" fillId="0" borderId="0" xfId="0" applyFont="1"/>
    <xf numFmtId="0" fontId="7" fillId="0" borderId="0" xfId="0" applyFont="1"/>
    <xf numFmtId="0" fontId="4" fillId="0" borderId="0" xfId="0" applyFont="1" applyBorder="1"/>
    <xf numFmtId="0" fontId="9" fillId="0" borderId="0" xfId="0" applyFont="1"/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" fontId="11" fillId="6" borderId="3" xfId="0" applyNumberFormat="1" applyFont="1" applyFill="1" applyBorder="1" applyAlignment="1">
      <alignment horizontal="center" vertical="center"/>
    </xf>
    <xf numFmtId="1" fontId="11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CFBA-7D3A-4E45-A4FC-6517F1B411AD}">
  <dimension ref="A1:P89"/>
  <sheetViews>
    <sheetView topLeftCell="A49" zoomScale="55" zoomScaleNormal="55" workbookViewId="0">
      <selection activeCell="N80" sqref="N80:N89"/>
    </sheetView>
  </sheetViews>
  <sheetFormatPr defaultRowHeight="14.5" x14ac:dyDescent="0.35"/>
  <sheetData>
    <row r="1" spans="1:16" ht="4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6" x14ac:dyDescent="0.4">
      <c r="A2" s="5" t="s">
        <v>16</v>
      </c>
      <c r="B2" s="6"/>
      <c r="C2" s="7"/>
      <c r="D2" s="8"/>
      <c r="E2" s="8"/>
      <c r="F2" s="8"/>
      <c r="G2" s="8"/>
      <c r="H2" s="9"/>
      <c r="I2" s="9"/>
      <c r="J2" s="9"/>
      <c r="K2" s="9"/>
      <c r="L2" s="9"/>
      <c r="M2" s="10"/>
      <c r="N2" s="10"/>
      <c r="O2" s="11"/>
      <c r="P2" s="11"/>
    </row>
    <row r="3" spans="1:16" ht="16" x14ac:dyDescent="0.4">
      <c r="A3" s="9" t="s">
        <v>17</v>
      </c>
      <c r="B3" s="6"/>
      <c r="C3">
        <v>1793</v>
      </c>
      <c r="D3">
        <v>2049</v>
      </c>
      <c r="E3">
        <v>1884</v>
      </c>
      <c r="F3">
        <v>2179</v>
      </c>
      <c r="G3">
        <v>2380</v>
      </c>
      <c r="I3">
        <v>2020</v>
      </c>
      <c r="J3">
        <v>2031</v>
      </c>
      <c r="K3">
        <v>1772</v>
      </c>
      <c r="L3">
        <v>1923</v>
      </c>
      <c r="M3">
        <f>AVERAGE(C3:L3)</f>
        <v>2003.4444444444443</v>
      </c>
      <c r="N3">
        <f>(M3/0.000382)*1</f>
        <v>5244618.9645142518</v>
      </c>
      <c r="O3" s="19">
        <f t="shared" ref="O3:O12" si="0">_xlfn.STDEV.P(C3:L3)</f>
        <v>180.83578254016427</v>
      </c>
      <c r="P3" s="19">
        <f t="shared" ref="P3:P12" si="1">O3/M3</f>
        <v>9.0262439291302676E-2</v>
      </c>
    </row>
    <row r="4" spans="1:16" ht="16" x14ac:dyDescent="0.4">
      <c r="A4" s="12" t="s">
        <v>18</v>
      </c>
      <c r="B4" s="6"/>
      <c r="C4">
        <v>1851</v>
      </c>
      <c r="D4">
        <v>1947</v>
      </c>
      <c r="E4">
        <v>2134</v>
      </c>
      <c r="F4">
        <v>2173</v>
      </c>
      <c r="G4">
        <v>1973</v>
      </c>
      <c r="H4">
        <v>2026</v>
      </c>
      <c r="I4">
        <v>2065</v>
      </c>
      <c r="J4">
        <v>2035</v>
      </c>
      <c r="K4">
        <v>2174</v>
      </c>
      <c r="L4">
        <v>2071</v>
      </c>
      <c r="M4">
        <f t="shared" ref="M4:M67" si="2">AVERAGE(C4:L4)</f>
        <v>2044.9</v>
      </c>
      <c r="N4">
        <f t="shared" ref="N4:N67" si="3">(M4/0.000382)*1</f>
        <v>5353141.3612565445</v>
      </c>
      <c r="O4" s="19">
        <f t="shared" si="0"/>
        <v>97.420172449036443</v>
      </c>
      <c r="P4" s="19">
        <f t="shared" si="1"/>
        <v>4.7640555747976154E-2</v>
      </c>
    </row>
    <row r="5" spans="1:16" ht="16" x14ac:dyDescent="0.4">
      <c r="A5" s="12" t="s">
        <v>19</v>
      </c>
      <c r="B5" s="6"/>
      <c r="C5">
        <v>1829</v>
      </c>
      <c r="D5">
        <v>1537</v>
      </c>
      <c r="E5">
        <v>1991</v>
      </c>
      <c r="F5">
        <v>1678</v>
      </c>
      <c r="G5">
        <v>1844</v>
      </c>
      <c r="H5">
        <v>1739</v>
      </c>
      <c r="I5">
        <v>1822</v>
      </c>
      <c r="J5">
        <v>1661</v>
      </c>
      <c r="K5">
        <v>1492</v>
      </c>
      <c r="L5">
        <v>1467</v>
      </c>
      <c r="M5">
        <f t="shared" si="2"/>
        <v>1706</v>
      </c>
      <c r="N5">
        <f t="shared" si="3"/>
        <v>4465968.586387434</v>
      </c>
      <c r="O5" s="19">
        <f t="shared" si="0"/>
        <v>162.55153029116644</v>
      </c>
      <c r="P5" s="19">
        <f t="shared" si="1"/>
        <v>9.5282256911586427E-2</v>
      </c>
    </row>
    <row r="6" spans="1:16" ht="16" x14ac:dyDescent="0.4">
      <c r="A6" s="12" t="s">
        <v>20</v>
      </c>
      <c r="B6" s="6"/>
      <c r="C6">
        <v>1822</v>
      </c>
      <c r="D6">
        <v>1718</v>
      </c>
      <c r="E6">
        <v>2021</v>
      </c>
      <c r="F6">
        <v>1955</v>
      </c>
      <c r="G6">
        <v>1691</v>
      </c>
      <c r="H6">
        <v>1735</v>
      </c>
      <c r="I6">
        <v>1714</v>
      </c>
      <c r="J6">
        <v>1665</v>
      </c>
      <c r="K6">
        <v>1764</v>
      </c>
      <c r="L6">
        <v>1728</v>
      </c>
      <c r="M6">
        <f t="shared" si="2"/>
        <v>1781.3</v>
      </c>
      <c r="N6">
        <f t="shared" si="3"/>
        <v>4663089.0052356021</v>
      </c>
      <c r="O6" s="19">
        <f t="shared" si="0"/>
        <v>111.7068037319124</v>
      </c>
      <c r="P6" s="19">
        <f t="shared" si="1"/>
        <v>6.2710831264757433E-2</v>
      </c>
    </row>
    <row r="7" spans="1:16" ht="16" x14ac:dyDescent="0.4">
      <c r="A7" s="12" t="s">
        <v>21</v>
      </c>
      <c r="B7" s="6"/>
      <c r="C7">
        <v>2127</v>
      </c>
      <c r="D7">
        <v>1885</v>
      </c>
      <c r="E7">
        <v>2108</v>
      </c>
      <c r="F7">
        <v>2123</v>
      </c>
      <c r="G7">
        <v>2206</v>
      </c>
      <c r="H7">
        <v>2173</v>
      </c>
      <c r="I7">
        <v>2458</v>
      </c>
      <c r="J7">
        <v>2148</v>
      </c>
      <c r="K7">
        <v>2339</v>
      </c>
      <c r="L7">
        <v>2371</v>
      </c>
      <c r="M7">
        <f t="shared" si="2"/>
        <v>2193.8000000000002</v>
      </c>
      <c r="N7">
        <f t="shared" si="3"/>
        <v>5742931.9371727752</v>
      </c>
      <c r="O7" s="19">
        <f t="shared" si="0"/>
        <v>153.99922077724941</v>
      </c>
      <c r="P7" s="19">
        <f t="shared" si="1"/>
        <v>7.0197475055724948E-2</v>
      </c>
    </row>
    <row r="8" spans="1:16" ht="16" x14ac:dyDescent="0.4">
      <c r="A8" s="12" t="s">
        <v>22</v>
      </c>
      <c r="B8" s="11"/>
      <c r="C8">
        <v>1444</v>
      </c>
      <c r="D8">
        <v>1548</v>
      </c>
      <c r="E8">
        <v>1522</v>
      </c>
      <c r="F8">
        <v>1570</v>
      </c>
      <c r="G8">
        <v>1484</v>
      </c>
      <c r="H8">
        <v>1549</v>
      </c>
      <c r="I8">
        <v>1535</v>
      </c>
      <c r="J8">
        <v>1493</v>
      </c>
      <c r="K8">
        <v>1441</v>
      </c>
      <c r="L8">
        <v>1509</v>
      </c>
      <c r="M8">
        <f t="shared" si="2"/>
        <v>1509.5</v>
      </c>
      <c r="N8">
        <f t="shared" si="3"/>
        <v>3951570.6806282722</v>
      </c>
      <c r="O8" s="19">
        <f t="shared" si="0"/>
        <v>41.730684154468399</v>
      </c>
      <c r="P8" s="19">
        <f t="shared" si="1"/>
        <v>2.7645368767451738E-2</v>
      </c>
    </row>
    <row r="9" spans="1:16" ht="16" x14ac:dyDescent="0.4">
      <c r="A9" s="12" t="s">
        <v>23</v>
      </c>
      <c r="B9" s="11"/>
      <c r="C9">
        <v>1409</v>
      </c>
      <c r="D9">
        <v>1432</v>
      </c>
      <c r="E9">
        <v>1452</v>
      </c>
      <c r="F9">
        <v>1340</v>
      </c>
      <c r="G9">
        <v>1472</v>
      </c>
      <c r="H9">
        <v>1411</v>
      </c>
      <c r="I9">
        <v>1430</v>
      </c>
      <c r="J9">
        <v>1379</v>
      </c>
      <c r="K9">
        <v>1426</v>
      </c>
      <c r="L9">
        <v>1000</v>
      </c>
      <c r="M9">
        <f t="shared" si="2"/>
        <v>1375.1</v>
      </c>
      <c r="N9">
        <f t="shared" si="3"/>
        <v>3599738.2198952874</v>
      </c>
      <c r="O9" s="19">
        <f t="shared" si="0"/>
        <v>129.81945154713912</v>
      </c>
      <c r="P9" s="19">
        <f t="shared" si="1"/>
        <v>9.4407280595694226E-2</v>
      </c>
    </row>
    <row r="10" spans="1:16" ht="16" x14ac:dyDescent="0.4">
      <c r="A10" s="12" t="s">
        <v>24</v>
      </c>
      <c r="B10" s="11"/>
      <c r="C10">
        <v>1282</v>
      </c>
      <c r="D10">
        <v>1334</v>
      </c>
      <c r="E10">
        <v>1224</v>
      </c>
      <c r="F10">
        <v>1268</v>
      </c>
      <c r="G10">
        <v>1316</v>
      </c>
      <c r="H10">
        <v>1282</v>
      </c>
      <c r="I10">
        <v>1297</v>
      </c>
      <c r="J10">
        <v>1346</v>
      </c>
      <c r="K10">
        <v>1299</v>
      </c>
      <c r="L10">
        <v>1271</v>
      </c>
      <c r="M10">
        <f t="shared" si="2"/>
        <v>1291.9000000000001</v>
      </c>
      <c r="N10">
        <f t="shared" si="3"/>
        <v>3381937.172774869</v>
      </c>
      <c r="O10" s="19">
        <f t="shared" si="0"/>
        <v>33.422896343674346</v>
      </c>
      <c r="P10" s="19">
        <f t="shared" si="1"/>
        <v>2.5871117225539395E-2</v>
      </c>
    </row>
    <row r="11" spans="1:16" ht="16" x14ac:dyDescent="0.4">
      <c r="A11" s="12" t="s">
        <v>25</v>
      </c>
      <c r="B11" s="11"/>
      <c r="C11">
        <v>1491</v>
      </c>
      <c r="D11">
        <v>1634</v>
      </c>
      <c r="E11">
        <v>1586</v>
      </c>
      <c r="F11">
        <v>1655</v>
      </c>
      <c r="G11">
        <v>1597</v>
      </c>
      <c r="H11">
        <v>1680</v>
      </c>
      <c r="I11">
        <v>1629</v>
      </c>
      <c r="J11">
        <v>1624</v>
      </c>
      <c r="K11">
        <v>1574</v>
      </c>
      <c r="L11">
        <v>1542</v>
      </c>
      <c r="M11">
        <f t="shared" si="2"/>
        <v>1601.2</v>
      </c>
      <c r="N11">
        <f t="shared" si="3"/>
        <v>4191623.0366492146</v>
      </c>
      <c r="O11" s="19">
        <f t="shared" si="0"/>
        <v>53.018487341681109</v>
      </c>
      <c r="P11" s="19">
        <f t="shared" si="1"/>
        <v>3.3111720797952229E-2</v>
      </c>
    </row>
    <row r="12" spans="1:16" ht="16" x14ac:dyDescent="0.4">
      <c r="A12" s="12" t="s">
        <v>26</v>
      </c>
      <c r="B12" s="11"/>
      <c r="C12">
        <v>1352</v>
      </c>
      <c r="D12">
        <v>1321</v>
      </c>
      <c r="E12">
        <v>1380</v>
      </c>
      <c r="F12">
        <v>1350</v>
      </c>
      <c r="G12">
        <v>1362</v>
      </c>
      <c r="H12">
        <v>1330</v>
      </c>
      <c r="I12">
        <v>1365</v>
      </c>
      <c r="J12">
        <v>1357</v>
      </c>
      <c r="K12">
        <v>1317</v>
      </c>
      <c r="L12">
        <v>1318</v>
      </c>
      <c r="M12">
        <f t="shared" si="2"/>
        <v>1345.2</v>
      </c>
      <c r="N12">
        <f t="shared" si="3"/>
        <v>3521465.9685863876</v>
      </c>
      <c r="O12" s="19">
        <f t="shared" si="0"/>
        <v>21.08459153030952</v>
      </c>
      <c r="P12" s="19">
        <f t="shared" si="1"/>
        <v>1.5673945532492954E-2</v>
      </c>
    </row>
    <row r="13" spans="1:16" ht="16" x14ac:dyDescent="0.4">
      <c r="A13" s="13" t="s">
        <v>27</v>
      </c>
      <c r="B13" s="6"/>
      <c r="O13" s="19"/>
      <c r="P13" s="19"/>
    </row>
    <row r="14" spans="1:16" ht="16" x14ac:dyDescent="0.4">
      <c r="A14" s="14" t="s">
        <v>28</v>
      </c>
      <c r="B14" s="11"/>
      <c r="C14">
        <v>1265</v>
      </c>
      <c r="D14">
        <v>1157</v>
      </c>
      <c r="E14">
        <v>1253</v>
      </c>
      <c r="F14">
        <v>1240</v>
      </c>
      <c r="G14">
        <v>1212</v>
      </c>
      <c r="H14">
        <v>1245</v>
      </c>
      <c r="I14">
        <v>1236</v>
      </c>
      <c r="J14">
        <v>1185</v>
      </c>
      <c r="K14">
        <v>1176</v>
      </c>
      <c r="L14">
        <v>1224</v>
      </c>
      <c r="M14">
        <f t="shared" si="2"/>
        <v>1219.3</v>
      </c>
      <c r="N14">
        <f t="shared" si="3"/>
        <v>3191884.8167539267</v>
      </c>
      <c r="O14" s="19">
        <f t="shared" ref="O14:O23" si="4">_xlfn.STDEV.P(C14:L14)</f>
        <v>34.05891953659129</v>
      </c>
      <c r="P14" s="19">
        <f t="shared" ref="P14:P23" si="5">O14/M14</f>
        <v>2.7933174392349127E-2</v>
      </c>
    </row>
    <row r="15" spans="1:16" ht="16" x14ac:dyDescent="0.4">
      <c r="A15" s="14" t="s">
        <v>29</v>
      </c>
      <c r="B15" s="11"/>
      <c r="C15">
        <v>1221</v>
      </c>
      <c r="D15">
        <v>1210</v>
      </c>
      <c r="E15">
        <v>1168</v>
      </c>
      <c r="F15">
        <v>1205</v>
      </c>
      <c r="G15">
        <v>1191</v>
      </c>
      <c r="H15">
        <v>1196</v>
      </c>
      <c r="I15">
        <v>1191</v>
      </c>
      <c r="J15">
        <v>1187</v>
      </c>
      <c r="K15">
        <v>1171</v>
      </c>
      <c r="L15">
        <v>1183</v>
      </c>
      <c r="M15">
        <f t="shared" si="2"/>
        <v>1192.3</v>
      </c>
      <c r="N15">
        <f t="shared" si="3"/>
        <v>3121204.188481675</v>
      </c>
      <c r="O15" s="19">
        <f t="shared" si="4"/>
        <v>15.729272074701996</v>
      </c>
      <c r="P15" s="19">
        <f t="shared" si="5"/>
        <v>1.3192377819929544E-2</v>
      </c>
    </row>
    <row r="16" spans="1:16" ht="16" x14ac:dyDescent="0.4">
      <c r="A16" s="14" t="s">
        <v>30</v>
      </c>
      <c r="B16" s="11"/>
      <c r="C16">
        <v>1281</v>
      </c>
      <c r="D16">
        <v>1252</v>
      </c>
      <c r="E16">
        <v>1215</v>
      </c>
      <c r="F16">
        <v>1202</v>
      </c>
      <c r="G16">
        <v>1235</v>
      </c>
      <c r="H16">
        <v>1238</v>
      </c>
      <c r="I16">
        <v>1308</v>
      </c>
      <c r="J16">
        <v>1207</v>
      </c>
      <c r="K16">
        <v>1222</v>
      </c>
      <c r="L16">
        <v>1221</v>
      </c>
      <c r="M16">
        <f t="shared" si="2"/>
        <v>1238.0999999999999</v>
      </c>
      <c r="N16">
        <f t="shared" si="3"/>
        <v>3241099.4764397903</v>
      </c>
      <c r="O16" s="19">
        <f t="shared" si="4"/>
        <v>32.070079513465501</v>
      </c>
      <c r="P16" s="19">
        <f t="shared" si="5"/>
        <v>2.5902656904503274E-2</v>
      </c>
    </row>
    <row r="17" spans="1:16" ht="16" x14ac:dyDescent="0.4">
      <c r="A17" s="14" t="s">
        <v>31</v>
      </c>
      <c r="B17" s="11"/>
      <c r="C17">
        <v>1209</v>
      </c>
      <c r="D17">
        <v>1215</v>
      </c>
      <c r="E17">
        <v>1182</v>
      </c>
      <c r="F17">
        <v>1206</v>
      </c>
      <c r="G17">
        <v>1226</v>
      </c>
      <c r="H17">
        <v>1131</v>
      </c>
      <c r="I17">
        <v>1231</v>
      </c>
      <c r="J17">
        <v>1177</v>
      </c>
      <c r="K17">
        <v>1206</v>
      </c>
      <c r="L17">
        <v>1191</v>
      </c>
      <c r="M17">
        <f t="shared" si="2"/>
        <v>1197.4000000000001</v>
      </c>
      <c r="N17">
        <f t="shared" si="3"/>
        <v>3134554.9738219897</v>
      </c>
      <c r="O17" s="19">
        <f t="shared" si="4"/>
        <v>27.644891028904418</v>
      </c>
      <c r="P17" s="19">
        <f t="shared" si="5"/>
        <v>2.3087431960000349E-2</v>
      </c>
    </row>
    <row r="18" spans="1:16" ht="16" x14ac:dyDescent="0.4">
      <c r="A18" s="14" t="s">
        <v>32</v>
      </c>
      <c r="B18" s="11"/>
      <c r="C18">
        <v>1066</v>
      </c>
      <c r="D18">
        <v>1097</v>
      </c>
      <c r="E18">
        <v>1065</v>
      </c>
      <c r="F18">
        <v>1099</v>
      </c>
      <c r="G18">
        <v>1091</v>
      </c>
      <c r="H18">
        <v>1078</v>
      </c>
      <c r="I18">
        <v>1107</v>
      </c>
      <c r="J18">
        <v>1109</v>
      </c>
      <c r="K18">
        <v>1141</v>
      </c>
      <c r="L18">
        <v>1077</v>
      </c>
      <c r="M18">
        <f t="shared" si="2"/>
        <v>1093</v>
      </c>
      <c r="N18">
        <f t="shared" si="3"/>
        <v>2861256.5445026178</v>
      </c>
      <c r="O18" s="19">
        <f t="shared" si="4"/>
        <v>21.922591087734133</v>
      </c>
      <c r="P18" s="19">
        <f t="shared" si="5"/>
        <v>2.0057265405063252E-2</v>
      </c>
    </row>
    <row r="19" spans="1:16" ht="16" x14ac:dyDescent="0.4">
      <c r="A19" s="14" t="s">
        <v>33</v>
      </c>
      <c r="B19" s="11"/>
      <c r="C19">
        <v>1292</v>
      </c>
      <c r="D19">
        <v>1332</v>
      </c>
      <c r="E19">
        <v>1369</v>
      </c>
      <c r="F19">
        <v>1262</v>
      </c>
      <c r="G19">
        <v>1317</v>
      </c>
      <c r="H19">
        <v>1338</v>
      </c>
      <c r="I19">
        <v>1346</v>
      </c>
      <c r="J19">
        <v>1330</v>
      </c>
      <c r="K19">
        <v>1322</v>
      </c>
      <c r="L19">
        <v>1314</v>
      </c>
      <c r="M19">
        <f t="shared" si="2"/>
        <v>1322.2</v>
      </c>
      <c r="N19">
        <f t="shared" si="3"/>
        <v>3461256.5445026178</v>
      </c>
      <c r="O19" s="19">
        <f t="shared" si="4"/>
        <v>27.91701989826278</v>
      </c>
      <c r="P19" s="19">
        <f t="shared" si="5"/>
        <v>2.1114067386373302E-2</v>
      </c>
    </row>
    <row r="20" spans="1:16" ht="16" x14ac:dyDescent="0.4">
      <c r="A20" s="14" t="s">
        <v>34</v>
      </c>
      <c r="B20" s="11"/>
      <c r="C20">
        <v>1401</v>
      </c>
      <c r="D20">
        <v>1391</v>
      </c>
      <c r="E20">
        <v>1368</v>
      </c>
      <c r="F20">
        <v>1419</v>
      </c>
      <c r="G20">
        <v>1424</v>
      </c>
      <c r="H20">
        <v>1477</v>
      </c>
      <c r="I20">
        <v>1419</v>
      </c>
      <c r="J20">
        <v>1463</v>
      </c>
      <c r="K20">
        <v>1407</v>
      </c>
      <c r="L20">
        <v>1359</v>
      </c>
      <c r="M20">
        <f t="shared" si="2"/>
        <v>1412.8</v>
      </c>
      <c r="N20">
        <f t="shared" si="3"/>
        <v>3698429.3193717273</v>
      </c>
      <c r="O20" s="19">
        <f t="shared" si="4"/>
        <v>35.204545161101002</v>
      </c>
      <c r="P20" s="19">
        <f t="shared" si="5"/>
        <v>2.4918279417540348E-2</v>
      </c>
    </row>
    <row r="21" spans="1:16" ht="16" x14ac:dyDescent="0.4">
      <c r="A21" s="14" t="s">
        <v>35</v>
      </c>
      <c r="B21" s="11"/>
      <c r="C21">
        <v>1262</v>
      </c>
      <c r="D21">
        <v>1236</v>
      </c>
      <c r="E21">
        <v>1201</v>
      </c>
      <c r="F21">
        <v>1296</v>
      </c>
      <c r="G21">
        <v>1339</v>
      </c>
      <c r="H21">
        <v>1302</v>
      </c>
      <c r="I21">
        <v>1283</v>
      </c>
      <c r="J21">
        <v>1302</v>
      </c>
      <c r="K21">
        <v>1340</v>
      </c>
      <c r="L21">
        <v>1353</v>
      </c>
      <c r="M21">
        <f t="shared" si="2"/>
        <v>1291.4000000000001</v>
      </c>
      <c r="N21">
        <f t="shared" si="3"/>
        <v>3380628.2722513089</v>
      </c>
      <c r="O21" s="19">
        <f t="shared" si="4"/>
        <v>45.655667775206183</v>
      </c>
      <c r="P21" s="19">
        <f t="shared" si="5"/>
        <v>3.535362225120503E-2</v>
      </c>
    </row>
    <row r="22" spans="1:16" ht="16" x14ac:dyDescent="0.4">
      <c r="A22" s="14" t="s">
        <v>36</v>
      </c>
      <c r="B22" s="11"/>
      <c r="C22">
        <v>1255</v>
      </c>
      <c r="D22">
        <v>1252</v>
      </c>
      <c r="E22">
        <v>1278</v>
      </c>
      <c r="F22">
        <v>1240</v>
      </c>
      <c r="G22">
        <v>1292</v>
      </c>
      <c r="H22">
        <v>1293</v>
      </c>
      <c r="I22">
        <v>1281</v>
      </c>
      <c r="J22">
        <v>1268</v>
      </c>
      <c r="K22">
        <v>1254</v>
      </c>
      <c r="L22">
        <v>1245</v>
      </c>
      <c r="M22">
        <f t="shared" si="2"/>
        <v>1265.8</v>
      </c>
      <c r="N22">
        <f t="shared" si="3"/>
        <v>3313612.5654450259</v>
      </c>
      <c r="O22" s="19">
        <f t="shared" si="4"/>
        <v>18.318296864064628</v>
      </c>
      <c r="P22" s="19">
        <f t="shared" si="5"/>
        <v>1.4471715013481299E-2</v>
      </c>
    </row>
    <row r="23" spans="1:16" ht="16" x14ac:dyDescent="0.4">
      <c r="A23" s="14" t="s">
        <v>37</v>
      </c>
      <c r="B23" s="11"/>
      <c r="C23">
        <v>1195</v>
      </c>
      <c r="D23">
        <v>1192</v>
      </c>
      <c r="E23">
        <v>1221</v>
      </c>
      <c r="F23">
        <v>1234</v>
      </c>
      <c r="G23">
        <v>1262</v>
      </c>
      <c r="H23">
        <v>1287</v>
      </c>
      <c r="I23">
        <v>1299</v>
      </c>
      <c r="J23">
        <v>1271</v>
      </c>
      <c r="K23">
        <v>1236</v>
      </c>
      <c r="L23">
        <v>1288</v>
      </c>
      <c r="M23">
        <f t="shared" si="2"/>
        <v>1248.5</v>
      </c>
      <c r="N23">
        <f t="shared" si="3"/>
        <v>3268324.6073298426</v>
      </c>
      <c r="O23" s="19">
        <f t="shared" si="4"/>
        <v>36.685828326480511</v>
      </c>
      <c r="P23" s="19">
        <f t="shared" si="5"/>
        <v>2.9383923369227481E-2</v>
      </c>
    </row>
    <row r="24" spans="1:16" ht="16" x14ac:dyDescent="0.4">
      <c r="A24" s="15" t="s">
        <v>38</v>
      </c>
      <c r="B24" s="6"/>
      <c r="O24" s="19"/>
      <c r="P24" s="19"/>
    </row>
    <row r="25" spans="1:16" ht="16" x14ac:dyDescent="0.4">
      <c r="A25" s="9" t="s">
        <v>39</v>
      </c>
      <c r="B25" s="6"/>
      <c r="C25">
        <v>1137</v>
      </c>
      <c r="D25">
        <v>1130</v>
      </c>
      <c r="E25">
        <v>1140</v>
      </c>
      <c r="F25">
        <v>1125</v>
      </c>
      <c r="G25">
        <v>1122</v>
      </c>
      <c r="H25">
        <v>1141</v>
      </c>
      <c r="I25">
        <v>1076</v>
      </c>
      <c r="J25">
        <v>1108</v>
      </c>
      <c r="K25">
        <v>1101</v>
      </c>
      <c r="L25">
        <v>1130</v>
      </c>
      <c r="M25">
        <f t="shared" si="2"/>
        <v>1121</v>
      </c>
      <c r="N25">
        <f t="shared" si="3"/>
        <v>2934554.9738219893</v>
      </c>
      <c r="O25" s="19">
        <f t="shared" ref="O25:O34" si="6">_xlfn.STDEV.P(C25:L25)</f>
        <v>19.467922333931785</v>
      </c>
      <c r="P25" s="19">
        <f t="shared" ref="P25:P34" si="7">O25/M25</f>
        <v>1.7366567648467248E-2</v>
      </c>
    </row>
    <row r="26" spans="1:16" ht="16" x14ac:dyDescent="0.4">
      <c r="A26" s="9" t="s">
        <v>40</v>
      </c>
      <c r="B26" s="6"/>
      <c r="C26">
        <v>1225</v>
      </c>
      <c r="D26">
        <v>1196</v>
      </c>
      <c r="E26">
        <v>1240</v>
      </c>
      <c r="F26">
        <v>1197</v>
      </c>
      <c r="G26">
        <v>1253</v>
      </c>
      <c r="H26">
        <v>1266</v>
      </c>
      <c r="I26">
        <v>1234</v>
      </c>
      <c r="J26">
        <v>1276</v>
      </c>
      <c r="K26">
        <v>1288</v>
      </c>
      <c r="L26">
        <v>1232</v>
      </c>
      <c r="M26">
        <f t="shared" si="2"/>
        <v>1240.7</v>
      </c>
      <c r="N26">
        <f t="shared" si="3"/>
        <v>3247905.7591623035</v>
      </c>
      <c r="O26" s="19">
        <f t="shared" si="6"/>
        <v>29.240554030318918</v>
      </c>
      <c r="P26" s="19">
        <f t="shared" si="7"/>
        <v>2.3567787563729278E-2</v>
      </c>
    </row>
    <row r="27" spans="1:16" ht="16" x14ac:dyDescent="0.4">
      <c r="A27" s="9" t="s">
        <v>41</v>
      </c>
      <c r="B27" s="6"/>
      <c r="C27">
        <v>1206</v>
      </c>
      <c r="D27">
        <v>1159</v>
      </c>
      <c r="E27">
        <v>1179</v>
      </c>
      <c r="F27">
        <v>1186</v>
      </c>
      <c r="G27">
        <v>1161</v>
      </c>
      <c r="H27">
        <v>1129</v>
      </c>
      <c r="I27">
        <v>1153</v>
      </c>
      <c r="J27">
        <v>1096</v>
      </c>
      <c r="K27">
        <v>1192</v>
      </c>
      <c r="L27">
        <v>1156</v>
      </c>
      <c r="M27">
        <f t="shared" si="2"/>
        <v>1161.7</v>
      </c>
      <c r="N27">
        <f t="shared" si="3"/>
        <v>3041099.4764397908</v>
      </c>
      <c r="O27" s="19">
        <f t="shared" si="6"/>
        <v>30.450123152460318</v>
      </c>
      <c r="P27" s="19">
        <f t="shared" si="7"/>
        <v>2.6211692478660856E-2</v>
      </c>
    </row>
    <row r="28" spans="1:16" ht="16" x14ac:dyDescent="0.4">
      <c r="A28" s="9" t="s">
        <v>42</v>
      </c>
      <c r="B28" s="6"/>
      <c r="C28">
        <v>1119</v>
      </c>
      <c r="D28">
        <v>1113</v>
      </c>
      <c r="E28">
        <v>1114</v>
      </c>
      <c r="F28">
        <v>1101</v>
      </c>
      <c r="G28">
        <v>1141</v>
      </c>
      <c r="H28">
        <v>1118</v>
      </c>
      <c r="I28">
        <v>1143</v>
      </c>
      <c r="J28">
        <v>1120</v>
      </c>
      <c r="K28">
        <v>1158</v>
      </c>
      <c r="L28">
        <v>1124</v>
      </c>
      <c r="M28">
        <f t="shared" si="2"/>
        <v>1125.0999999999999</v>
      </c>
      <c r="N28">
        <f t="shared" si="3"/>
        <v>2945287.9581151828</v>
      </c>
      <c r="O28" s="19">
        <f t="shared" si="6"/>
        <v>16.189193926814269</v>
      </c>
      <c r="P28" s="19">
        <f t="shared" si="7"/>
        <v>1.4389115569117652E-2</v>
      </c>
    </row>
    <row r="29" spans="1:16" ht="16" x14ac:dyDescent="0.4">
      <c r="A29" s="9" t="s">
        <v>43</v>
      </c>
      <c r="B29" s="11"/>
      <c r="C29">
        <v>1175</v>
      </c>
      <c r="D29">
        <v>1197</v>
      </c>
      <c r="E29">
        <v>1209</v>
      </c>
      <c r="F29">
        <v>1201</v>
      </c>
      <c r="G29">
        <v>1219</v>
      </c>
      <c r="H29">
        <v>1198</v>
      </c>
      <c r="I29">
        <v>1203</v>
      </c>
      <c r="J29">
        <v>1189</v>
      </c>
      <c r="K29">
        <v>1222</v>
      </c>
      <c r="L29">
        <v>1211</v>
      </c>
      <c r="M29">
        <f t="shared" si="2"/>
        <v>1202.4000000000001</v>
      </c>
      <c r="N29">
        <f t="shared" si="3"/>
        <v>3147643.9790575919</v>
      </c>
      <c r="O29" s="19">
        <f t="shared" si="6"/>
        <v>13.260467563400621</v>
      </c>
      <c r="P29" s="19">
        <f t="shared" si="7"/>
        <v>1.1028332970226729E-2</v>
      </c>
    </row>
    <row r="30" spans="1:16" ht="16" x14ac:dyDescent="0.4">
      <c r="A30" s="9" t="s">
        <v>44</v>
      </c>
      <c r="B30" s="11"/>
      <c r="C30">
        <v>1170</v>
      </c>
      <c r="D30">
        <v>1130</v>
      </c>
      <c r="E30">
        <v>1163</v>
      </c>
      <c r="F30">
        <v>1159</v>
      </c>
      <c r="G30">
        <v>1175</v>
      </c>
      <c r="H30">
        <v>1144</v>
      </c>
      <c r="I30">
        <v>1150</v>
      </c>
      <c r="J30">
        <v>1169</v>
      </c>
      <c r="K30">
        <v>1189</v>
      </c>
      <c r="L30">
        <v>1138</v>
      </c>
      <c r="M30">
        <f t="shared" si="2"/>
        <v>1158.7</v>
      </c>
      <c r="N30">
        <f t="shared" si="3"/>
        <v>3033246.0732984291</v>
      </c>
      <c r="O30" s="19">
        <f t="shared" si="6"/>
        <v>17.262966141425405</v>
      </c>
      <c r="P30" s="19">
        <f t="shared" si="7"/>
        <v>1.4898564029882976E-2</v>
      </c>
    </row>
    <row r="31" spans="1:16" ht="16" x14ac:dyDescent="0.4">
      <c r="A31" s="9" t="s">
        <v>45</v>
      </c>
      <c r="B31" s="11"/>
      <c r="C31">
        <v>1204</v>
      </c>
      <c r="D31">
        <v>1218</v>
      </c>
      <c r="E31">
        <v>1229</v>
      </c>
      <c r="F31">
        <v>1140</v>
      </c>
      <c r="G31">
        <v>1231</v>
      </c>
      <c r="H31">
        <v>1249</v>
      </c>
      <c r="I31">
        <v>1272</v>
      </c>
      <c r="J31">
        <v>1207</v>
      </c>
      <c r="K31">
        <v>1200</v>
      </c>
      <c r="L31">
        <v>1234</v>
      </c>
      <c r="M31">
        <f t="shared" si="2"/>
        <v>1218.4000000000001</v>
      </c>
      <c r="N31">
        <f t="shared" si="3"/>
        <v>3189528.7958115186</v>
      </c>
      <c r="O31" s="19">
        <f t="shared" si="6"/>
        <v>33.386224704209965</v>
      </c>
      <c r="P31" s="19">
        <f t="shared" si="7"/>
        <v>2.7401694602930043E-2</v>
      </c>
    </row>
    <row r="32" spans="1:16" ht="16" x14ac:dyDescent="0.4">
      <c r="A32" s="9" t="s">
        <v>46</v>
      </c>
      <c r="B32" s="11"/>
      <c r="C32">
        <v>1192</v>
      </c>
      <c r="D32">
        <v>1190</v>
      </c>
      <c r="E32">
        <v>1234</v>
      </c>
      <c r="F32">
        <v>1205</v>
      </c>
      <c r="G32">
        <v>1233</v>
      </c>
      <c r="H32">
        <v>1203</v>
      </c>
      <c r="I32">
        <v>1220</v>
      </c>
      <c r="J32">
        <v>1195</v>
      </c>
      <c r="K32">
        <v>1213</v>
      </c>
      <c r="L32">
        <v>1243</v>
      </c>
      <c r="M32">
        <f t="shared" si="2"/>
        <v>1212.8</v>
      </c>
      <c r="N32">
        <f t="shared" si="3"/>
        <v>3174869.1099476437</v>
      </c>
      <c r="O32" s="19">
        <f t="shared" si="6"/>
        <v>18.021098745637012</v>
      </c>
      <c r="P32" s="19">
        <f t="shared" si="7"/>
        <v>1.4859085377339225E-2</v>
      </c>
    </row>
    <row r="33" spans="1:16" ht="16" x14ac:dyDescent="0.4">
      <c r="A33" s="9" t="s">
        <v>47</v>
      </c>
      <c r="B33" s="11"/>
      <c r="C33">
        <v>1302</v>
      </c>
      <c r="D33">
        <v>1315</v>
      </c>
      <c r="E33">
        <v>1249</v>
      </c>
      <c r="F33">
        <v>1314</v>
      </c>
      <c r="G33">
        <v>1330</v>
      </c>
      <c r="H33">
        <v>1327</v>
      </c>
      <c r="I33">
        <v>1369</v>
      </c>
      <c r="J33">
        <v>1334</v>
      </c>
      <c r="K33">
        <v>1341</v>
      </c>
      <c r="L33">
        <v>1320</v>
      </c>
      <c r="M33">
        <f t="shared" si="2"/>
        <v>1320.1</v>
      </c>
      <c r="N33">
        <f t="shared" si="3"/>
        <v>3455759.1623036647</v>
      </c>
      <c r="O33" s="19">
        <f t="shared" si="6"/>
        <v>29.347742672989352</v>
      </c>
      <c r="P33" s="19">
        <f t="shared" si="7"/>
        <v>2.2231454187553484E-2</v>
      </c>
    </row>
    <row r="34" spans="1:16" ht="16" x14ac:dyDescent="0.4">
      <c r="A34" s="9" t="s">
        <v>48</v>
      </c>
      <c r="B34" s="11"/>
      <c r="C34">
        <v>1085</v>
      </c>
      <c r="D34">
        <v>1096</v>
      </c>
      <c r="E34">
        <v>1088</v>
      </c>
      <c r="F34">
        <v>1095</v>
      </c>
      <c r="G34">
        <v>1099</v>
      </c>
      <c r="H34">
        <v>1113</v>
      </c>
      <c r="I34">
        <v>1091</v>
      </c>
      <c r="J34">
        <v>1091</v>
      </c>
      <c r="K34">
        <v>1090</v>
      </c>
      <c r="L34">
        <v>1092</v>
      </c>
      <c r="M34">
        <f t="shared" si="2"/>
        <v>1094</v>
      </c>
      <c r="N34">
        <f t="shared" si="3"/>
        <v>2863874.345549738</v>
      </c>
      <c r="O34" s="19">
        <f t="shared" si="6"/>
        <v>7.3891812807644666</v>
      </c>
      <c r="P34" s="19">
        <f t="shared" si="7"/>
        <v>6.7542790500589277E-3</v>
      </c>
    </row>
    <row r="35" spans="1:16" ht="16" x14ac:dyDescent="0.4">
      <c r="A35" s="16" t="s">
        <v>49</v>
      </c>
      <c r="B35" s="6"/>
      <c r="O35" s="19"/>
      <c r="P35" s="19"/>
    </row>
    <row r="36" spans="1:16" ht="16" x14ac:dyDescent="0.4">
      <c r="A36" s="9" t="s">
        <v>50</v>
      </c>
      <c r="B36" s="11"/>
      <c r="C36">
        <v>1397</v>
      </c>
      <c r="D36">
        <v>1349</v>
      </c>
      <c r="E36">
        <v>1410</v>
      </c>
      <c r="F36">
        <v>1286</v>
      </c>
      <c r="G36">
        <v>1361</v>
      </c>
      <c r="H36">
        <v>1224</v>
      </c>
      <c r="I36">
        <v>1412</v>
      </c>
      <c r="J36">
        <v>1330</v>
      </c>
      <c r="K36">
        <v>1381</v>
      </c>
      <c r="L36">
        <v>1389</v>
      </c>
      <c r="M36">
        <f t="shared" si="2"/>
        <v>1353.9</v>
      </c>
      <c r="N36">
        <f t="shared" si="3"/>
        <v>3544240.8376963353</v>
      </c>
      <c r="O36" s="19">
        <f t="shared" ref="O36:O45" si="8">_xlfn.STDEV.P(C36:L36)</f>
        <v>56.988507613377628</v>
      </c>
      <c r="P36" s="19">
        <f t="shared" ref="P36:P45" si="9">O36/M36</f>
        <v>4.2092109914600502E-2</v>
      </c>
    </row>
    <row r="37" spans="1:16" ht="16" x14ac:dyDescent="0.4">
      <c r="A37" s="9" t="s">
        <v>51</v>
      </c>
      <c r="B37" s="11"/>
      <c r="C37">
        <v>1165</v>
      </c>
      <c r="D37">
        <v>1182</v>
      </c>
      <c r="E37">
        <v>1220</v>
      </c>
      <c r="F37">
        <v>1203</v>
      </c>
      <c r="G37">
        <v>1167</v>
      </c>
      <c r="H37">
        <v>1186</v>
      </c>
      <c r="I37">
        <v>1155</v>
      </c>
      <c r="J37">
        <v>1117</v>
      </c>
      <c r="K37">
        <v>1184</v>
      </c>
      <c r="L37">
        <v>1169</v>
      </c>
      <c r="M37">
        <f t="shared" si="2"/>
        <v>1174.8</v>
      </c>
      <c r="N37">
        <f t="shared" si="3"/>
        <v>3075392.6701570679</v>
      </c>
      <c r="O37" s="19">
        <f t="shared" si="8"/>
        <v>26.502075390429333</v>
      </c>
      <c r="P37" s="19">
        <f t="shared" si="9"/>
        <v>2.255879757442061E-2</v>
      </c>
    </row>
    <row r="38" spans="1:16" ht="16" x14ac:dyDescent="0.4">
      <c r="A38" s="9" t="s">
        <v>52</v>
      </c>
      <c r="B38" s="11"/>
      <c r="C38">
        <v>1212</v>
      </c>
      <c r="D38">
        <v>1225</v>
      </c>
      <c r="E38">
        <v>1232</v>
      </c>
      <c r="F38">
        <v>1291</v>
      </c>
      <c r="G38">
        <v>1208</v>
      </c>
      <c r="H38">
        <v>1243</v>
      </c>
      <c r="I38">
        <v>1207</v>
      </c>
      <c r="J38">
        <v>1160</v>
      </c>
      <c r="K38">
        <v>1218</v>
      </c>
      <c r="L38">
        <v>1198</v>
      </c>
      <c r="M38">
        <f t="shared" si="2"/>
        <v>1219.4000000000001</v>
      </c>
      <c r="N38">
        <f t="shared" si="3"/>
        <v>3192146.5968586388</v>
      </c>
      <c r="O38" s="19">
        <f t="shared" si="8"/>
        <v>31.938065063494378</v>
      </c>
      <c r="P38" s="19">
        <f t="shared" si="9"/>
        <v>2.6191622981379673E-2</v>
      </c>
    </row>
    <row r="39" spans="1:16" ht="16" x14ac:dyDescent="0.4">
      <c r="A39" s="9" t="s">
        <v>53</v>
      </c>
      <c r="B39" s="11"/>
      <c r="C39">
        <v>1137</v>
      </c>
      <c r="D39">
        <v>1161</v>
      </c>
      <c r="E39">
        <v>1151</v>
      </c>
      <c r="F39">
        <v>1150</v>
      </c>
      <c r="G39">
        <v>1118</v>
      </c>
      <c r="H39">
        <v>1141</v>
      </c>
      <c r="I39">
        <v>1145</v>
      </c>
      <c r="J39">
        <v>1110</v>
      </c>
      <c r="K39">
        <v>1094</v>
      </c>
      <c r="L39">
        <v>1142</v>
      </c>
      <c r="M39">
        <f t="shared" si="2"/>
        <v>1134.9000000000001</v>
      </c>
      <c r="N39">
        <f t="shared" si="3"/>
        <v>2970942.4083769633</v>
      </c>
      <c r="O39" s="19">
        <f t="shared" si="8"/>
        <v>19.851700179077863</v>
      </c>
      <c r="P39" s="19">
        <f t="shared" si="9"/>
        <v>1.7492025886930884E-2</v>
      </c>
    </row>
    <row r="40" spans="1:16" ht="16" x14ac:dyDescent="0.4">
      <c r="A40" s="9" t="s">
        <v>54</v>
      </c>
      <c r="B40" s="11"/>
      <c r="C40">
        <v>1110</v>
      </c>
      <c r="D40">
        <v>1133</v>
      </c>
      <c r="E40">
        <v>1100</v>
      </c>
      <c r="F40">
        <v>1114</v>
      </c>
      <c r="G40">
        <v>1139</v>
      </c>
      <c r="H40">
        <v>1128</v>
      </c>
      <c r="L40">
        <v>1126</v>
      </c>
      <c r="M40">
        <f t="shared" si="2"/>
        <v>1121.4285714285713</v>
      </c>
      <c r="N40">
        <f t="shared" si="3"/>
        <v>2935676.8885564692</v>
      </c>
      <c r="O40" s="19">
        <f t="shared" si="8"/>
        <v>12.826948672420031</v>
      </c>
      <c r="P40" s="19">
        <f t="shared" si="9"/>
        <v>1.1438043402157989E-2</v>
      </c>
    </row>
    <row r="41" spans="1:16" ht="16" x14ac:dyDescent="0.4">
      <c r="A41" s="9" t="s">
        <v>55</v>
      </c>
      <c r="B41" s="11"/>
      <c r="C41">
        <v>1050</v>
      </c>
      <c r="D41">
        <v>1075</v>
      </c>
      <c r="E41">
        <v>1091</v>
      </c>
      <c r="F41">
        <v>1101</v>
      </c>
      <c r="G41">
        <v>1117</v>
      </c>
      <c r="H41">
        <v>1152</v>
      </c>
      <c r="I41">
        <v>1142</v>
      </c>
      <c r="J41">
        <v>1095</v>
      </c>
      <c r="K41">
        <v>1137</v>
      </c>
      <c r="L41">
        <v>1135</v>
      </c>
      <c r="M41">
        <f t="shared" si="2"/>
        <v>1109.5</v>
      </c>
      <c r="N41">
        <f t="shared" si="3"/>
        <v>2904450.2617801046</v>
      </c>
      <c r="O41" s="19">
        <f t="shared" si="8"/>
        <v>31.113501892265358</v>
      </c>
      <c r="P41" s="19">
        <f t="shared" si="9"/>
        <v>2.8042813783024208E-2</v>
      </c>
    </row>
    <row r="42" spans="1:16" ht="16" x14ac:dyDescent="0.4">
      <c r="A42" s="9" t="s">
        <v>56</v>
      </c>
      <c r="B42" s="11"/>
      <c r="C42">
        <v>1142</v>
      </c>
      <c r="D42">
        <v>1129</v>
      </c>
      <c r="E42">
        <v>1192</v>
      </c>
      <c r="F42">
        <v>1173</v>
      </c>
      <c r="G42">
        <v>1177</v>
      </c>
      <c r="H42">
        <v>1202</v>
      </c>
      <c r="I42">
        <v>1231</v>
      </c>
      <c r="J42">
        <v>1233</v>
      </c>
      <c r="K42">
        <v>1251</v>
      </c>
      <c r="L42">
        <v>1229</v>
      </c>
      <c r="M42">
        <f t="shared" si="2"/>
        <v>1195.9000000000001</v>
      </c>
      <c r="N42">
        <f t="shared" si="3"/>
        <v>3130628.2722513089</v>
      </c>
      <c r="O42" s="19">
        <f t="shared" si="8"/>
        <v>38.80064432454698</v>
      </c>
      <c r="P42" s="19">
        <f t="shared" si="9"/>
        <v>3.2444723074292983E-2</v>
      </c>
    </row>
    <row r="43" spans="1:16" ht="16" x14ac:dyDescent="0.4">
      <c r="A43" s="9" t="s">
        <v>57</v>
      </c>
      <c r="B43" s="11"/>
      <c r="C43">
        <v>1106</v>
      </c>
      <c r="D43">
        <v>1110</v>
      </c>
      <c r="E43">
        <v>1182</v>
      </c>
      <c r="F43">
        <v>1196</v>
      </c>
      <c r="G43">
        <v>1231</v>
      </c>
      <c r="H43">
        <v>1238</v>
      </c>
      <c r="I43">
        <v>1284</v>
      </c>
      <c r="J43">
        <v>1297</v>
      </c>
      <c r="K43">
        <v>1374</v>
      </c>
      <c r="L43">
        <v>1344</v>
      </c>
      <c r="M43">
        <f t="shared" si="2"/>
        <v>1236.2</v>
      </c>
      <c r="N43">
        <f t="shared" si="3"/>
        <v>3236125.654450262</v>
      </c>
      <c r="O43" s="19">
        <f t="shared" si="8"/>
        <v>86.05440139818532</v>
      </c>
      <c r="P43" s="19">
        <f t="shared" si="9"/>
        <v>6.9612038018269956E-2</v>
      </c>
    </row>
    <row r="44" spans="1:16" ht="16" x14ac:dyDescent="0.4">
      <c r="A44" s="9" t="s">
        <v>58</v>
      </c>
      <c r="B44" s="11"/>
      <c r="C44">
        <v>1063</v>
      </c>
      <c r="D44">
        <v>1074</v>
      </c>
      <c r="E44">
        <v>1079</v>
      </c>
      <c r="F44">
        <v>1066</v>
      </c>
      <c r="G44">
        <v>1122</v>
      </c>
      <c r="H44">
        <v>1344</v>
      </c>
      <c r="I44">
        <v>1103</v>
      </c>
      <c r="J44">
        <v>1141</v>
      </c>
      <c r="K44">
        <v>1124</v>
      </c>
      <c r="L44">
        <v>1139</v>
      </c>
      <c r="M44">
        <f t="shared" si="2"/>
        <v>1125.5</v>
      </c>
      <c r="N44">
        <f t="shared" si="3"/>
        <v>2946335.0785340313</v>
      </c>
      <c r="O44" s="19">
        <f t="shared" si="8"/>
        <v>78.068239380685412</v>
      </c>
      <c r="P44" s="19">
        <f t="shared" si="9"/>
        <v>6.9363162488392194E-2</v>
      </c>
    </row>
    <row r="45" spans="1:16" ht="16" x14ac:dyDescent="0.4">
      <c r="A45" s="9" t="s">
        <v>59</v>
      </c>
      <c r="B45" s="11"/>
      <c r="C45">
        <v>1105</v>
      </c>
      <c r="D45">
        <v>1123</v>
      </c>
      <c r="E45">
        <v>1144</v>
      </c>
      <c r="F45">
        <v>1177</v>
      </c>
      <c r="G45">
        <v>1105</v>
      </c>
      <c r="H45">
        <v>990</v>
      </c>
      <c r="I45">
        <v>1323</v>
      </c>
      <c r="L45">
        <v>1265</v>
      </c>
      <c r="M45">
        <f t="shared" si="2"/>
        <v>1154</v>
      </c>
      <c r="N45">
        <f t="shared" si="3"/>
        <v>3020942.4083769633</v>
      </c>
      <c r="O45" s="19">
        <f t="shared" si="8"/>
        <v>96.287330423062414</v>
      </c>
      <c r="P45" s="19">
        <f t="shared" si="9"/>
        <v>8.3437894647367783E-2</v>
      </c>
    </row>
    <row r="46" spans="1:16" ht="16" x14ac:dyDescent="0.4">
      <c r="A46" s="17" t="s">
        <v>60</v>
      </c>
      <c r="B46" s="11"/>
      <c r="O46" s="19"/>
      <c r="P46" s="19"/>
    </row>
    <row r="47" spans="1:16" ht="16" x14ac:dyDescent="0.4">
      <c r="A47" s="10" t="s">
        <v>61</v>
      </c>
      <c r="B47" s="11"/>
      <c r="C47">
        <v>1332</v>
      </c>
      <c r="D47">
        <v>1328</v>
      </c>
      <c r="E47">
        <v>1350</v>
      </c>
      <c r="F47">
        <v>1335</v>
      </c>
      <c r="G47">
        <v>1295</v>
      </c>
      <c r="H47">
        <v>1327</v>
      </c>
      <c r="I47">
        <v>1322</v>
      </c>
      <c r="J47">
        <v>1330</v>
      </c>
      <c r="K47">
        <v>1288</v>
      </c>
      <c r="L47">
        <v>1369</v>
      </c>
      <c r="M47">
        <f t="shared" si="2"/>
        <v>1327.6</v>
      </c>
      <c r="N47">
        <f t="shared" si="3"/>
        <v>3475392.6701570675</v>
      </c>
      <c r="O47" s="19">
        <f t="shared" ref="O47:O56" si="10">_xlfn.STDEV.P(C47:L47)</f>
        <v>22.267465055546847</v>
      </c>
      <c r="P47" s="19">
        <f t="shared" ref="P47:P56" si="11">O47/M47</f>
        <v>1.6772721494084701E-2</v>
      </c>
    </row>
    <row r="48" spans="1:16" ht="16" x14ac:dyDescent="0.4">
      <c r="A48" s="10" t="s">
        <v>62</v>
      </c>
      <c r="B48" s="11"/>
      <c r="C48">
        <v>1315</v>
      </c>
      <c r="D48">
        <v>1317</v>
      </c>
      <c r="E48">
        <v>1273</v>
      </c>
      <c r="F48">
        <v>1296</v>
      </c>
      <c r="G48">
        <v>1294</v>
      </c>
      <c r="H48">
        <v>1287</v>
      </c>
      <c r="I48">
        <v>1295</v>
      </c>
      <c r="J48">
        <v>1286</v>
      </c>
      <c r="K48">
        <v>1255</v>
      </c>
      <c r="L48">
        <v>1255</v>
      </c>
      <c r="M48">
        <f t="shared" si="2"/>
        <v>1287.3</v>
      </c>
      <c r="N48">
        <f t="shared" si="3"/>
        <v>3369895.2879581149</v>
      </c>
      <c r="O48" s="19">
        <f t="shared" si="10"/>
        <v>20.302955449884628</v>
      </c>
      <c r="P48" s="19">
        <f t="shared" si="11"/>
        <v>1.5771735764689373E-2</v>
      </c>
    </row>
    <row r="49" spans="1:16" ht="16" x14ac:dyDescent="0.4">
      <c r="A49" s="10" t="s">
        <v>63</v>
      </c>
      <c r="B49" s="11"/>
      <c r="C49">
        <v>1243</v>
      </c>
      <c r="D49">
        <v>1262</v>
      </c>
      <c r="E49">
        <v>1251</v>
      </c>
      <c r="F49">
        <v>1207</v>
      </c>
      <c r="G49">
        <v>1228</v>
      </c>
      <c r="H49">
        <v>1246</v>
      </c>
      <c r="I49">
        <v>1215</v>
      </c>
      <c r="J49">
        <v>1258</v>
      </c>
      <c r="K49">
        <v>1206</v>
      </c>
      <c r="L49">
        <v>1229</v>
      </c>
      <c r="M49">
        <f t="shared" si="2"/>
        <v>1234.5</v>
      </c>
      <c r="N49">
        <f t="shared" si="3"/>
        <v>3231675.3926701569</v>
      </c>
      <c r="O49" s="19">
        <f t="shared" si="10"/>
        <v>19.510253714393361</v>
      </c>
      <c r="P49" s="19">
        <f t="shared" si="11"/>
        <v>1.5804174738269228E-2</v>
      </c>
    </row>
    <row r="50" spans="1:16" ht="16" x14ac:dyDescent="0.4">
      <c r="A50" s="10" t="s">
        <v>64</v>
      </c>
      <c r="B50" s="11"/>
      <c r="C50">
        <v>1218</v>
      </c>
      <c r="D50">
        <v>1208</v>
      </c>
      <c r="E50">
        <v>1185</v>
      </c>
      <c r="F50">
        <v>1234</v>
      </c>
      <c r="G50">
        <v>1217</v>
      </c>
      <c r="H50">
        <v>1222</v>
      </c>
      <c r="I50">
        <v>1192</v>
      </c>
      <c r="J50">
        <v>1215</v>
      </c>
      <c r="K50">
        <v>1197</v>
      </c>
      <c r="L50">
        <v>1170</v>
      </c>
      <c r="M50">
        <f t="shared" si="2"/>
        <v>1205.8</v>
      </c>
      <c r="N50">
        <f t="shared" si="3"/>
        <v>3156544.5026178006</v>
      </c>
      <c r="O50" s="19">
        <f t="shared" si="10"/>
        <v>18.448848202530151</v>
      </c>
      <c r="P50" s="19">
        <f t="shared" si="11"/>
        <v>1.5300089735055691E-2</v>
      </c>
    </row>
    <row r="51" spans="1:16" ht="16" x14ac:dyDescent="0.4">
      <c r="A51" s="10" t="s">
        <v>65</v>
      </c>
      <c r="B51" s="11"/>
      <c r="C51">
        <v>1557</v>
      </c>
      <c r="D51">
        <v>1626</v>
      </c>
      <c r="E51">
        <v>1649</v>
      </c>
      <c r="F51">
        <v>1718</v>
      </c>
      <c r="G51">
        <v>1690</v>
      </c>
      <c r="H51">
        <v>1702</v>
      </c>
      <c r="I51">
        <v>1381</v>
      </c>
      <c r="J51">
        <v>1673</v>
      </c>
      <c r="K51">
        <v>1709</v>
      </c>
      <c r="L51">
        <v>1661</v>
      </c>
      <c r="M51">
        <f t="shared" si="2"/>
        <v>1636.6</v>
      </c>
      <c r="N51">
        <f t="shared" si="3"/>
        <v>4284293.1937172767</v>
      </c>
      <c r="O51" s="19">
        <f t="shared" si="10"/>
        <v>96.358912405651395</v>
      </c>
      <c r="P51" s="19">
        <f t="shared" si="11"/>
        <v>5.8877497498259442E-2</v>
      </c>
    </row>
    <row r="52" spans="1:16" ht="16" x14ac:dyDescent="0.4">
      <c r="A52" s="10" t="s">
        <v>66</v>
      </c>
      <c r="B52" s="11"/>
      <c r="C52">
        <v>1545</v>
      </c>
      <c r="D52">
        <v>1391</v>
      </c>
      <c r="E52">
        <v>1454</v>
      </c>
      <c r="F52">
        <v>1477</v>
      </c>
      <c r="G52">
        <v>1487</v>
      </c>
      <c r="H52">
        <v>1445</v>
      </c>
      <c r="I52">
        <v>1481</v>
      </c>
      <c r="J52">
        <v>1402</v>
      </c>
      <c r="K52">
        <v>1525</v>
      </c>
      <c r="L52">
        <v>1538</v>
      </c>
      <c r="M52">
        <f t="shared" si="2"/>
        <v>1474.5</v>
      </c>
      <c r="N52">
        <f t="shared" si="3"/>
        <v>3859947.6439790577</v>
      </c>
      <c r="O52" s="19">
        <f t="shared" si="10"/>
        <v>50.275739676309094</v>
      </c>
      <c r="P52" s="19">
        <f t="shared" si="11"/>
        <v>3.409680547732051E-2</v>
      </c>
    </row>
    <row r="53" spans="1:16" ht="16" x14ac:dyDescent="0.4">
      <c r="A53" s="10" t="s">
        <v>67</v>
      </c>
      <c r="B53" s="11"/>
      <c r="C53">
        <v>1478</v>
      </c>
      <c r="D53">
        <v>1585</v>
      </c>
      <c r="E53">
        <v>1520</v>
      </c>
      <c r="F53">
        <v>1528</v>
      </c>
      <c r="G53">
        <v>1523</v>
      </c>
      <c r="H53">
        <v>1557</v>
      </c>
      <c r="I53">
        <v>1622</v>
      </c>
      <c r="J53">
        <v>1535</v>
      </c>
      <c r="K53">
        <v>1600</v>
      </c>
      <c r="L53">
        <v>1569</v>
      </c>
      <c r="M53">
        <f t="shared" si="2"/>
        <v>1551.7</v>
      </c>
      <c r="N53">
        <f t="shared" si="3"/>
        <v>4062041.8848167537</v>
      </c>
      <c r="O53" s="19">
        <f t="shared" si="10"/>
        <v>41.002560895631873</v>
      </c>
      <c r="P53" s="19">
        <f t="shared" si="11"/>
        <v>2.6424283621596874E-2</v>
      </c>
    </row>
    <row r="54" spans="1:16" ht="16" x14ac:dyDescent="0.4">
      <c r="A54" s="10" t="s">
        <v>68</v>
      </c>
      <c r="B54" s="11"/>
      <c r="C54">
        <v>1584</v>
      </c>
      <c r="D54">
        <v>1662</v>
      </c>
      <c r="E54">
        <v>1629</v>
      </c>
      <c r="F54">
        <v>1607</v>
      </c>
      <c r="G54">
        <v>1565</v>
      </c>
      <c r="H54">
        <v>1421</v>
      </c>
      <c r="I54">
        <v>1685</v>
      </c>
      <c r="J54">
        <v>1630</v>
      </c>
      <c r="K54">
        <v>1473</v>
      </c>
      <c r="L54">
        <v>1592</v>
      </c>
      <c r="M54">
        <f t="shared" si="2"/>
        <v>1584.8</v>
      </c>
      <c r="N54">
        <f t="shared" si="3"/>
        <v>4148691.0994764394</v>
      </c>
      <c r="O54" s="19">
        <f t="shared" si="10"/>
        <v>77.629633517104793</v>
      </c>
      <c r="P54" s="19">
        <f t="shared" si="11"/>
        <v>4.8983867691257441E-2</v>
      </c>
    </row>
    <row r="55" spans="1:16" ht="16" x14ac:dyDescent="0.4">
      <c r="A55" s="10" t="s">
        <v>69</v>
      </c>
      <c r="B55" s="11"/>
      <c r="C55">
        <v>1143</v>
      </c>
      <c r="D55">
        <v>1168</v>
      </c>
      <c r="E55">
        <v>1096</v>
      </c>
      <c r="F55">
        <v>1159</v>
      </c>
      <c r="G55">
        <v>1186</v>
      </c>
      <c r="H55">
        <v>1116</v>
      </c>
      <c r="I55">
        <v>1108</v>
      </c>
      <c r="J55">
        <v>1190</v>
      </c>
      <c r="K55">
        <v>1276</v>
      </c>
      <c r="L55">
        <v>1216</v>
      </c>
      <c r="M55">
        <f t="shared" si="2"/>
        <v>1165.8</v>
      </c>
      <c r="N55">
        <f t="shared" si="3"/>
        <v>3051832.4607329839</v>
      </c>
      <c r="O55" s="19">
        <f t="shared" si="10"/>
        <v>51.886028948070404</v>
      </c>
      <c r="P55" s="19">
        <f t="shared" si="11"/>
        <v>4.4506801293592732E-2</v>
      </c>
    </row>
    <row r="56" spans="1:16" ht="16" x14ac:dyDescent="0.4">
      <c r="A56" s="10" t="s">
        <v>70</v>
      </c>
      <c r="B56" s="11"/>
      <c r="C56">
        <v>1414</v>
      </c>
      <c r="D56">
        <v>1342</v>
      </c>
      <c r="E56">
        <v>1444</v>
      </c>
      <c r="F56">
        <v>1477</v>
      </c>
      <c r="G56">
        <v>1422</v>
      </c>
      <c r="H56">
        <v>1371</v>
      </c>
      <c r="I56">
        <v>1311</v>
      </c>
      <c r="J56">
        <v>1459</v>
      </c>
      <c r="K56">
        <v>1422</v>
      </c>
      <c r="L56">
        <v>1252</v>
      </c>
      <c r="M56">
        <f t="shared" si="2"/>
        <v>1391.4</v>
      </c>
      <c r="N56">
        <f t="shared" si="3"/>
        <v>3642408.3769633509</v>
      </c>
      <c r="O56" s="19">
        <f t="shared" si="10"/>
        <v>67.675992789171545</v>
      </c>
      <c r="P56" s="19">
        <f t="shared" si="11"/>
        <v>4.8638775901373825E-2</v>
      </c>
    </row>
    <row r="57" spans="1:16" ht="16" x14ac:dyDescent="0.4">
      <c r="A57" s="17" t="s">
        <v>71</v>
      </c>
      <c r="B57" s="11"/>
      <c r="O57" s="19"/>
      <c r="P57" s="19"/>
    </row>
    <row r="58" spans="1:16" ht="16" x14ac:dyDescent="0.4">
      <c r="A58" s="10" t="s">
        <v>72</v>
      </c>
      <c r="B58" s="11"/>
      <c r="C58">
        <v>1237</v>
      </c>
      <c r="D58">
        <v>1190</v>
      </c>
      <c r="E58">
        <v>1193</v>
      </c>
      <c r="F58">
        <v>1191</v>
      </c>
      <c r="G58">
        <v>1185</v>
      </c>
      <c r="H58">
        <v>1215</v>
      </c>
      <c r="I58">
        <v>1221</v>
      </c>
      <c r="J58">
        <v>1177</v>
      </c>
      <c r="K58">
        <v>1200</v>
      </c>
      <c r="L58">
        <v>1271</v>
      </c>
      <c r="M58">
        <f t="shared" si="2"/>
        <v>1208</v>
      </c>
      <c r="N58">
        <f t="shared" si="3"/>
        <v>3162303.6649214658</v>
      </c>
      <c r="O58" s="19">
        <f t="shared" ref="O58:O67" si="12">_xlfn.STDEV.P(C58:L58)</f>
        <v>27.239676943752471</v>
      </c>
      <c r="P58" s="19">
        <f t="shared" ref="P58:P67" si="13">O58/M58</f>
        <v>2.2549401443503703E-2</v>
      </c>
    </row>
    <row r="59" spans="1:16" ht="16" x14ac:dyDescent="0.4">
      <c r="A59" s="10" t="s">
        <v>73</v>
      </c>
      <c r="B59" s="11"/>
      <c r="C59">
        <v>1190</v>
      </c>
      <c r="D59">
        <v>1153</v>
      </c>
      <c r="E59">
        <v>1159</v>
      </c>
      <c r="F59">
        <v>1129</v>
      </c>
      <c r="G59">
        <v>1177</v>
      </c>
      <c r="H59">
        <v>1112</v>
      </c>
      <c r="I59">
        <v>1193</v>
      </c>
      <c r="J59">
        <v>1155</v>
      </c>
      <c r="K59">
        <v>1170</v>
      </c>
      <c r="L59">
        <v>1110</v>
      </c>
      <c r="M59">
        <f t="shared" si="2"/>
        <v>1154.8</v>
      </c>
      <c r="N59">
        <f t="shared" si="3"/>
        <v>3023036.6492146594</v>
      </c>
      <c r="O59" s="19">
        <f t="shared" si="12"/>
        <v>28.191488077077448</v>
      </c>
      <c r="P59" s="19">
        <f t="shared" si="13"/>
        <v>2.4412442048040741E-2</v>
      </c>
    </row>
    <row r="60" spans="1:16" ht="16" x14ac:dyDescent="0.4">
      <c r="A60" s="10" t="s">
        <v>74</v>
      </c>
      <c r="B60" s="11"/>
      <c r="C60">
        <v>1139</v>
      </c>
      <c r="D60">
        <v>1150</v>
      </c>
      <c r="E60">
        <v>1174</v>
      </c>
      <c r="F60">
        <v>1176</v>
      </c>
      <c r="G60">
        <v>1149</v>
      </c>
      <c r="H60">
        <v>1140</v>
      </c>
      <c r="I60">
        <v>1176</v>
      </c>
      <c r="J60">
        <v>1186</v>
      </c>
      <c r="K60">
        <v>1136</v>
      </c>
      <c r="L60">
        <v>1171</v>
      </c>
      <c r="M60">
        <f t="shared" si="2"/>
        <v>1159.7</v>
      </c>
      <c r="N60">
        <f t="shared" si="3"/>
        <v>3035863.8743455498</v>
      </c>
      <c r="O60" s="19">
        <f t="shared" si="12"/>
        <v>17.72596964907703</v>
      </c>
      <c r="P60" s="19">
        <f t="shared" si="13"/>
        <v>1.5284961325409182E-2</v>
      </c>
    </row>
    <row r="61" spans="1:16" ht="16" x14ac:dyDescent="0.4">
      <c r="A61" s="10" t="s">
        <v>75</v>
      </c>
      <c r="B61" s="11"/>
      <c r="C61">
        <v>1146</v>
      </c>
      <c r="D61">
        <v>1167</v>
      </c>
      <c r="E61">
        <v>1144</v>
      </c>
      <c r="F61">
        <v>1129</v>
      </c>
      <c r="G61">
        <v>1146</v>
      </c>
      <c r="H61">
        <v>1119</v>
      </c>
      <c r="I61">
        <v>1147</v>
      </c>
      <c r="J61">
        <v>1166</v>
      </c>
      <c r="K61">
        <v>1149</v>
      </c>
      <c r="L61">
        <v>1132</v>
      </c>
      <c r="M61">
        <f t="shared" si="2"/>
        <v>1144.5</v>
      </c>
      <c r="N61">
        <f t="shared" si="3"/>
        <v>2996073.2984293192</v>
      </c>
      <c r="O61" s="19">
        <f t="shared" si="12"/>
        <v>14.305593311708536</v>
      </c>
      <c r="P61" s="19">
        <f t="shared" si="13"/>
        <v>1.2499426222550054E-2</v>
      </c>
    </row>
    <row r="62" spans="1:16" ht="16" x14ac:dyDescent="0.4">
      <c r="A62" s="10" t="s">
        <v>76</v>
      </c>
      <c r="B62" s="11"/>
      <c r="C62">
        <v>1338</v>
      </c>
      <c r="D62">
        <v>1437</v>
      </c>
      <c r="E62">
        <v>1331</v>
      </c>
      <c r="F62">
        <v>1401</v>
      </c>
      <c r="G62">
        <v>1432</v>
      </c>
      <c r="H62">
        <v>1451</v>
      </c>
      <c r="I62">
        <v>1281</v>
      </c>
      <c r="J62">
        <v>1387</v>
      </c>
      <c r="K62">
        <v>1441</v>
      </c>
      <c r="L62">
        <v>1400</v>
      </c>
      <c r="M62">
        <f t="shared" si="2"/>
        <v>1389.9</v>
      </c>
      <c r="N62">
        <f t="shared" si="3"/>
        <v>3638481.6753926701</v>
      </c>
      <c r="O62" s="19">
        <f t="shared" si="12"/>
        <v>53.470459133992854</v>
      </c>
      <c r="P62" s="19">
        <f t="shared" si="13"/>
        <v>3.8470723889483312E-2</v>
      </c>
    </row>
    <row r="63" spans="1:16" ht="16" x14ac:dyDescent="0.4">
      <c r="A63" s="10" t="s">
        <v>77</v>
      </c>
      <c r="B63" s="11"/>
      <c r="C63">
        <v>1191</v>
      </c>
      <c r="D63">
        <v>1188</v>
      </c>
      <c r="E63">
        <v>1100</v>
      </c>
      <c r="F63">
        <v>1277</v>
      </c>
      <c r="G63">
        <v>1227</v>
      </c>
      <c r="H63">
        <v>1234</v>
      </c>
      <c r="I63">
        <v>1242</v>
      </c>
      <c r="J63">
        <v>1255</v>
      </c>
      <c r="K63">
        <v>1283</v>
      </c>
      <c r="L63">
        <v>1239</v>
      </c>
      <c r="M63">
        <f t="shared" si="2"/>
        <v>1223.5999999999999</v>
      </c>
      <c r="N63">
        <f t="shared" si="3"/>
        <v>3203141.361256544</v>
      </c>
      <c r="O63" s="19">
        <f t="shared" si="12"/>
        <v>50.663991157428576</v>
      </c>
      <c r="P63" s="19">
        <f t="shared" si="13"/>
        <v>4.1405680906692201E-2</v>
      </c>
    </row>
    <row r="64" spans="1:16" ht="16" x14ac:dyDescent="0.4">
      <c r="A64" s="10" t="s">
        <v>78</v>
      </c>
      <c r="B64" s="11"/>
      <c r="C64">
        <v>1241</v>
      </c>
      <c r="D64">
        <v>1103</v>
      </c>
      <c r="E64">
        <v>1230</v>
      </c>
      <c r="F64">
        <v>1241</v>
      </c>
      <c r="G64">
        <v>1153</v>
      </c>
      <c r="H64">
        <v>1086</v>
      </c>
      <c r="I64">
        <v>1196</v>
      </c>
      <c r="J64">
        <v>1261</v>
      </c>
      <c r="K64">
        <v>1284</v>
      </c>
      <c r="L64">
        <v>1289</v>
      </c>
      <c r="M64">
        <f t="shared" si="2"/>
        <v>1208.4000000000001</v>
      </c>
      <c r="N64">
        <f t="shared" si="3"/>
        <v>3163350.7853403143</v>
      </c>
      <c r="O64" s="19">
        <f t="shared" si="12"/>
        <v>68.472184133412895</v>
      </c>
      <c r="P64" s="19">
        <f t="shared" si="13"/>
        <v>5.6663508882334401E-2</v>
      </c>
    </row>
    <row r="65" spans="1:16" ht="16" x14ac:dyDescent="0.4">
      <c r="A65" s="10" t="s">
        <v>79</v>
      </c>
      <c r="B65" s="11"/>
      <c r="C65">
        <v>1151</v>
      </c>
      <c r="D65">
        <v>1166</v>
      </c>
      <c r="E65">
        <v>1164</v>
      </c>
      <c r="F65">
        <v>1180</v>
      </c>
      <c r="G65">
        <v>1097</v>
      </c>
      <c r="H65">
        <v>1122</v>
      </c>
      <c r="I65">
        <v>1156</v>
      </c>
      <c r="J65">
        <v>1138</v>
      </c>
      <c r="K65">
        <v>1137</v>
      </c>
      <c r="L65">
        <v>1137</v>
      </c>
      <c r="M65">
        <f t="shared" si="2"/>
        <v>1144.8</v>
      </c>
      <c r="N65">
        <f t="shared" si="3"/>
        <v>2996858.6387434551</v>
      </c>
      <c r="O65" s="19">
        <f t="shared" si="12"/>
        <v>22.789471253190587</v>
      </c>
      <c r="P65" s="19">
        <f t="shared" si="13"/>
        <v>1.990694553912525E-2</v>
      </c>
    </row>
    <row r="66" spans="1:16" ht="16" x14ac:dyDescent="0.4">
      <c r="A66" s="10" t="s">
        <v>80</v>
      </c>
      <c r="B66" s="11"/>
      <c r="C66">
        <v>1041</v>
      </c>
      <c r="D66">
        <v>1053</v>
      </c>
      <c r="E66">
        <v>1011</v>
      </c>
      <c r="F66">
        <v>1128</v>
      </c>
      <c r="G66">
        <v>1034</v>
      </c>
      <c r="H66">
        <v>1049</v>
      </c>
      <c r="I66">
        <v>1010</v>
      </c>
      <c r="J66">
        <v>1086</v>
      </c>
      <c r="K66">
        <v>1073</v>
      </c>
      <c r="L66">
        <v>1114</v>
      </c>
      <c r="M66">
        <f t="shared" si="2"/>
        <v>1059.9000000000001</v>
      </c>
      <c r="N66">
        <f t="shared" si="3"/>
        <v>2774607.3298429321</v>
      </c>
      <c r="O66" s="19">
        <f t="shared" si="12"/>
        <v>38.069541631072994</v>
      </c>
      <c r="P66" s="19">
        <f t="shared" si="13"/>
        <v>3.5918050411428426E-2</v>
      </c>
    </row>
    <row r="67" spans="1:16" ht="16" x14ac:dyDescent="0.4">
      <c r="A67" s="10" t="s">
        <v>81</v>
      </c>
      <c r="B67" s="11"/>
      <c r="C67">
        <f>1495</f>
        <v>1495</v>
      </c>
      <c r="D67">
        <v>1731</v>
      </c>
      <c r="E67">
        <v>1609</v>
      </c>
      <c r="F67">
        <v>1652</v>
      </c>
      <c r="G67">
        <v>1829</v>
      </c>
      <c r="H67">
        <v>1490</v>
      </c>
      <c r="K67">
        <v>1360</v>
      </c>
      <c r="L67">
        <v>1588</v>
      </c>
      <c r="M67">
        <f t="shared" si="2"/>
        <v>1594.25</v>
      </c>
      <c r="N67">
        <f t="shared" si="3"/>
        <v>4173429.3193717278</v>
      </c>
      <c r="O67" s="19">
        <f t="shared" si="12"/>
        <v>138.28932532918077</v>
      </c>
      <c r="P67" s="19">
        <f t="shared" si="13"/>
        <v>8.6742559403594655E-2</v>
      </c>
    </row>
    <row r="68" spans="1:16" ht="16" x14ac:dyDescent="0.4">
      <c r="A68" s="18" t="s">
        <v>82</v>
      </c>
      <c r="B68" s="9"/>
      <c r="O68" s="19"/>
      <c r="P68" s="19"/>
    </row>
    <row r="69" spans="1:16" ht="16" x14ac:dyDescent="0.4">
      <c r="A69" s="10" t="s">
        <v>83</v>
      </c>
      <c r="B69" s="11"/>
      <c r="C69">
        <v>1281</v>
      </c>
      <c r="D69">
        <v>1310</v>
      </c>
      <c r="E69">
        <v>1269</v>
      </c>
      <c r="F69">
        <v>1264</v>
      </c>
      <c r="G69">
        <v>1239</v>
      </c>
      <c r="H69">
        <v>1202</v>
      </c>
      <c r="I69">
        <v>1233</v>
      </c>
      <c r="J69">
        <v>1218</v>
      </c>
      <c r="K69">
        <v>1252</v>
      </c>
      <c r="L69">
        <v>1000</v>
      </c>
      <c r="M69">
        <f t="shared" ref="M69:M89" si="14">AVERAGE(C69:L69)</f>
        <v>1226.8</v>
      </c>
      <c r="N69">
        <f t="shared" ref="N69:N89" si="15">(M69/0.000382)*1</f>
        <v>3211518.3246073294</v>
      </c>
      <c r="O69" s="19">
        <f t="shared" ref="O69:O78" si="16">_xlfn.STDEV.P(C69:L69)</f>
        <v>81.226596629429196</v>
      </c>
      <c r="P69" s="19">
        <f t="shared" ref="P69:P78" si="17">O69/M69</f>
        <v>6.6210137454702639E-2</v>
      </c>
    </row>
    <row r="70" spans="1:16" ht="16" x14ac:dyDescent="0.4">
      <c r="A70" s="10" t="s">
        <v>84</v>
      </c>
      <c r="B70" s="11"/>
      <c r="C70">
        <v>1368</v>
      </c>
      <c r="D70">
        <v>1239</v>
      </c>
      <c r="E70">
        <v>1334</v>
      </c>
      <c r="F70">
        <v>1232</v>
      </c>
      <c r="G70">
        <v>1270</v>
      </c>
      <c r="H70">
        <v>1245</v>
      </c>
      <c r="I70">
        <v>1211</v>
      </c>
      <c r="J70">
        <v>1254</v>
      </c>
      <c r="K70">
        <v>1166</v>
      </c>
      <c r="L70">
        <v>1223</v>
      </c>
      <c r="M70">
        <f t="shared" si="14"/>
        <v>1254.2</v>
      </c>
      <c r="N70">
        <f t="shared" si="15"/>
        <v>3283246.0732984291</v>
      </c>
      <c r="O70" s="19">
        <f t="shared" si="16"/>
        <v>55.673692171437672</v>
      </c>
      <c r="P70" s="19">
        <f t="shared" si="17"/>
        <v>4.4389803995724501E-2</v>
      </c>
    </row>
    <row r="71" spans="1:16" ht="16" x14ac:dyDescent="0.4">
      <c r="A71" s="10" t="s">
        <v>85</v>
      </c>
      <c r="B71" s="11"/>
      <c r="C71">
        <v>1329</v>
      </c>
      <c r="D71">
        <v>1279</v>
      </c>
      <c r="E71">
        <v>1271</v>
      </c>
      <c r="F71">
        <v>1273</v>
      </c>
      <c r="G71">
        <v>1267</v>
      </c>
      <c r="H71">
        <v>1261</v>
      </c>
      <c r="I71">
        <v>1274</v>
      </c>
      <c r="J71">
        <v>1280</v>
      </c>
      <c r="K71">
        <v>1278</v>
      </c>
      <c r="L71">
        <v>1275</v>
      </c>
      <c r="M71">
        <f t="shared" si="14"/>
        <v>1278.7</v>
      </c>
      <c r="N71">
        <f t="shared" si="15"/>
        <v>3347382.1989528798</v>
      </c>
      <c r="O71" s="19">
        <f t="shared" si="16"/>
        <v>17.63547561025787</v>
      </c>
      <c r="P71" s="19">
        <f t="shared" si="17"/>
        <v>1.3791722538717346E-2</v>
      </c>
    </row>
    <row r="72" spans="1:16" ht="16" x14ac:dyDescent="0.4">
      <c r="A72" s="10" t="s">
        <v>86</v>
      </c>
      <c r="B72" s="11"/>
      <c r="C72">
        <v>1311</v>
      </c>
      <c r="D72">
        <v>1237</v>
      </c>
      <c r="E72">
        <v>1308</v>
      </c>
      <c r="F72">
        <v>1259</v>
      </c>
      <c r="G72">
        <v>1308</v>
      </c>
      <c r="H72">
        <v>1302</v>
      </c>
      <c r="I72">
        <v>1305</v>
      </c>
      <c r="J72">
        <v>1299</v>
      </c>
      <c r="K72">
        <v>1316</v>
      </c>
      <c r="L72">
        <v>1000</v>
      </c>
      <c r="M72">
        <f t="shared" si="14"/>
        <v>1264.5</v>
      </c>
      <c r="N72">
        <f t="shared" si="15"/>
        <v>3310209.4240837693</v>
      </c>
      <c r="O72" s="19">
        <f t="shared" si="16"/>
        <v>91.42346525919919</v>
      </c>
      <c r="P72" s="19">
        <f t="shared" si="17"/>
        <v>7.2300091150019133E-2</v>
      </c>
    </row>
    <row r="73" spans="1:16" ht="16" x14ac:dyDescent="0.4">
      <c r="A73" s="10" t="s">
        <v>86</v>
      </c>
      <c r="B73" s="11"/>
      <c r="C73">
        <v>1290</v>
      </c>
      <c r="D73">
        <v>1342</v>
      </c>
      <c r="E73">
        <v>1278</v>
      </c>
      <c r="F73">
        <v>1209</v>
      </c>
      <c r="G73">
        <v>1241</v>
      </c>
      <c r="H73">
        <v>1243</v>
      </c>
      <c r="I73">
        <v>1309</v>
      </c>
      <c r="J73">
        <v>1346</v>
      </c>
      <c r="K73">
        <v>1358</v>
      </c>
      <c r="L73">
        <v>1370</v>
      </c>
      <c r="M73">
        <f t="shared" si="14"/>
        <v>1298.5999999999999</v>
      </c>
      <c r="N73">
        <f t="shared" si="15"/>
        <v>3399476.4397905758</v>
      </c>
      <c r="O73" s="19">
        <f t="shared" si="16"/>
        <v>52.726084626112723</v>
      </c>
      <c r="P73" s="19">
        <f t="shared" si="17"/>
        <v>4.0602252137773548E-2</v>
      </c>
    </row>
    <row r="74" spans="1:16" ht="16" x14ac:dyDescent="0.4">
      <c r="A74" s="10" t="s">
        <v>87</v>
      </c>
      <c r="B74" s="11"/>
      <c r="C74">
        <v>1269</v>
      </c>
      <c r="D74">
        <v>1205</v>
      </c>
      <c r="E74">
        <v>1227</v>
      </c>
      <c r="F74">
        <v>1211</v>
      </c>
      <c r="G74">
        <v>1260</v>
      </c>
      <c r="H74">
        <v>1199</v>
      </c>
      <c r="I74">
        <v>1216</v>
      </c>
      <c r="J74">
        <v>1221</v>
      </c>
      <c r="K74">
        <v>1100</v>
      </c>
      <c r="L74">
        <v>1226</v>
      </c>
      <c r="M74">
        <f t="shared" si="14"/>
        <v>1213.4000000000001</v>
      </c>
      <c r="N74">
        <f t="shared" si="15"/>
        <v>3176439.7905759164</v>
      </c>
      <c r="O74" s="19">
        <f t="shared" si="16"/>
        <v>43.375569160530908</v>
      </c>
      <c r="P74" s="19">
        <f t="shared" si="17"/>
        <v>3.5747131333880751E-2</v>
      </c>
    </row>
    <row r="75" spans="1:16" ht="16" x14ac:dyDescent="0.4">
      <c r="A75" s="10" t="s">
        <v>88</v>
      </c>
      <c r="B75" s="11"/>
      <c r="C75">
        <v>1357</v>
      </c>
      <c r="D75">
        <v>1395</v>
      </c>
      <c r="E75">
        <v>1454</v>
      </c>
      <c r="F75">
        <v>1276</v>
      </c>
      <c r="G75">
        <v>1504</v>
      </c>
      <c r="H75">
        <v>1457</v>
      </c>
      <c r="I75">
        <v>1251</v>
      </c>
      <c r="J75">
        <v>1365</v>
      </c>
      <c r="K75">
        <v>1447</v>
      </c>
      <c r="L75">
        <v>1385</v>
      </c>
      <c r="M75">
        <f t="shared" si="14"/>
        <v>1389.1</v>
      </c>
      <c r="N75">
        <f t="shared" si="15"/>
        <v>3636387.4345549736</v>
      </c>
      <c r="O75" s="19">
        <f t="shared" si="16"/>
        <v>76.748224735168961</v>
      </c>
      <c r="P75" s="19">
        <f t="shared" si="17"/>
        <v>5.5250323760110118E-2</v>
      </c>
    </row>
    <row r="76" spans="1:16" ht="16" x14ac:dyDescent="0.4">
      <c r="A76" s="10" t="s">
        <v>89</v>
      </c>
      <c r="B76" s="11"/>
      <c r="C76">
        <v>1336</v>
      </c>
      <c r="D76">
        <v>1474</v>
      </c>
      <c r="E76">
        <v>1611</v>
      </c>
      <c r="F76">
        <v>1406</v>
      </c>
      <c r="G76">
        <v>1456</v>
      </c>
      <c r="H76">
        <v>1385</v>
      </c>
      <c r="I76">
        <v>1545</v>
      </c>
      <c r="J76">
        <v>1558</v>
      </c>
      <c r="K76">
        <v>1524</v>
      </c>
      <c r="L76">
        <v>1479</v>
      </c>
      <c r="M76">
        <f t="shared" si="14"/>
        <v>1477.4</v>
      </c>
      <c r="N76">
        <f t="shared" si="15"/>
        <v>3867539.2670157067</v>
      </c>
      <c r="O76" s="19">
        <f t="shared" si="16"/>
        <v>80.739333660861973</v>
      </c>
      <c r="P76" s="19">
        <f t="shared" si="17"/>
        <v>5.4649609896346263E-2</v>
      </c>
    </row>
    <row r="77" spans="1:16" ht="16" x14ac:dyDescent="0.4">
      <c r="A77" s="10" t="s">
        <v>90</v>
      </c>
      <c r="B77" s="11"/>
      <c r="C77">
        <v>1488</v>
      </c>
      <c r="D77">
        <v>1570</v>
      </c>
      <c r="E77">
        <v>1613</v>
      </c>
      <c r="F77">
        <v>1762</v>
      </c>
      <c r="G77">
        <v>1661</v>
      </c>
      <c r="H77">
        <v>1489</v>
      </c>
      <c r="I77">
        <v>1629</v>
      </c>
      <c r="J77">
        <v>1513</v>
      </c>
      <c r="K77">
        <v>1742</v>
      </c>
      <c r="L77">
        <v>1497</v>
      </c>
      <c r="M77">
        <f t="shared" si="14"/>
        <v>1596.4</v>
      </c>
      <c r="N77">
        <f t="shared" si="15"/>
        <v>4179057.5916230367</v>
      </c>
      <c r="O77" s="19">
        <f t="shared" si="16"/>
        <v>97.443522103832024</v>
      </c>
      <c r="P77" s="19">
        <f t="shared" si="17"/>
        <v>6.1039540280526196E-2</v>
      </c>
    </row>
    <row r="78" spans="1:16" ht="16" x14ac:dyDescent="0.4">
      <c r="A78" s="10" t="s">
        <v>91</v>
      </c>
      <c r="B78" s="11"/>
      <c r="C78">
        <v>1551</v>
      </c>
      <c r="D78">
        <v>1693</v>
      </c>
      <c r="E78">
        <v>1561</v>
      </c>
      <c r="F78">
        <v>1436</v>
      </c>
      <c r="G78">
        <v>1602</v>
      </c>
      <c r="H78">
        <v>1675</v>
      </c>
      <c r="I78">
        <v>1840</v>
      </c>
      <c r="J78">
        <v>1580</v>
      </c>
      <c r="K78">
        <v>1504</v>
      </c>
      <c r="L78">
        <v>1623</v>
      </c>
      <c r="M78">
        <f t="shared" si="14"/>
        <v>1606.5</v>
      </c>
      <c r="N78">
        <f t="shared" si="15"/>
        <v>4205497.3821989531</v>
      </c>
      <c r="O78" s="19">
        <f t="shared" si="16"/>
        <v>106.02759074882349</v>
      </c>
      <c r="P78" s="19">
        <f t="shared" si="17"/>
        <v>6.5999122781713965E-2</v>
      </c>
    </row>
    <row r="79" spans="1:16" ht="16" x14ac:dyDescent="0.4">
      <c r="A79" s="18" t="s">
        <v>92</v>
      </c>
      <c r="B79" s="11"/>
      <c r="O79" s="19"/>
      <c r="P79" s="19"/>
    </row>
    <row r="80" spans="1:16" ht="16" x14ac:dyDescent="0.4">
      <c r="A80" s="10" t="s">
        <v>93</v>
      </c>
      <c r="B80" s="11"/>
      <c r="C80">
        <v>1289</v>
      </c>
      <c r="D80">
        <v>1309</v>
      </c>
      <c r="E80">
        <v>1303</v>
      </c>
      <c r="F80">
        <v>1345</v>
      </c>
      <c r="G80">
        <v>1397</v>
      </c>
      <c r="H80">
        <v>1353</v>
      </c>
      <c r="I80">
        <v>1338</v>
      </c>
      <c r="J80">
        <v>1291</v>
      </c>
      <c r="K80">
        <v>1303</v>
      </c>
      <c r="L80">
        <v>1349</v>
      </c>
      <c r="M80">
        <f t="shared" si="14"/>
        <v>1327.7</v>
      </c>
      <c r="N80">
        <f t="shared" si="15"/>
        <v>3475654.4502617801</v>
      </c>
      <c r="O80" s="19">
        <f t="shared" ref="O80:O89" si="18">_xlfn.STDEV.P(C80:L80)</f>
        <v>32.735454785293577</v>
      </c>
      <c r="P80" s="19">
        <f t="shared" ref="P80:P89" si="19">O80/M80</f>
        <v>2.4655761682076956E-2</v>
      </c>
    </row>
    <row r="81" spans="1:16" ht="16" x14ac:dyDescent="0.4">
      <c r="A81" s="10" t="s">
        <v>94</v>
      </c>
      <c r="B81" s="11"/>
      <c r="C81">
        <v>1270</v>
      </c>
      <c r="D81">
        <v>1275</v>
      </c>
      <c r="E81">
        <v>1278</v>
      </c>
      <c r="F81">
        <v>1277</v>
      </c>
      <c r="G81">
        <v>1276</v>
      </c>
      <c r="H81">
        <v>1300</v>
      </c>
      <c r="I81">
        <v>1284</v>
      </c>
      <c r="J81">
        <v>1257</v>
      </c>
      <c r="K81">
        <v>1298</v>
      </c>
      <c r="L81">
        <v>1270</v>
      </c>
      <c r="M81">
        <f t="shared" si="14"/>
        <v>1278.5</v>
      </c>
      <c r="N81">
        <f t="shared" si="15"/>
        <v>3346858.6387434555</v>
      </c>
      <c r="O81" s="19">
        <f t="shared" si="18"/>
        <v>12.2494897852931</v>
      </c>
      <c r="P81" s="19">
        <f t="shared" si="19"/>
        <v>9.5811417953016037E-3</v>
      </c>
    </row>
    <row r="82" spans="1:16" ht="16" x14ac:dyDescent="0.4">
      <c r="A82" s="10" t="s">
        <v>95</v>
      </c>
      <c r="B82" s="11"/>
      <c r="C82">
        <v>1312</v>
      </c>
      <c r="D82">
        <v>1318</v>
      </c>
      <c r="E82">
        <v>1310</v>
      </c>
      <c r="F82">
        <v>1327</v>
      </c>
      <c r="G82">
        <v>1324</v>
      </c>
      <c r="H82">
        <v>1321</v>
      </c>
      <c r="I82">
        <v>1324</v>
      </c>
      <c r="J82">
        <v>1352</v>
      </c>
      <c r="K82">
        <v>1324</v>
      </c>
      <c r="L82">
        <v>1346</v>
      </c>
      <c r="M82">
        <f t="shared" si="14"/>
        <v>1325.8</v>
      </c>
      <c r="N82">
        <f t="shared" si="15"/>
        <v>3470680.6282722512</v>
      </c>
      <c r="O82" s="19">
        <f t="shared" si="18"/>
        <v>12.765578717786358</v>
      </c>
      <c r="P82" s="19">
        <f t="shared" si="19"/>
        <v>9.6285855466785031E-3</v>
      </c>
    </row>
    <row r="83" spans="1:16" ht="16" x14ac:dyDescent="0.4">
      <c r="A83" s="10" t="s">
        <v>96</v>
      </c>
      <c r="B83" s="11"/>
      <c r="C83">
        <v>1285</v>
      </c>
      <c r="D83">
        <v>1280</v>
      </c>
      <c r="E83">
        <v>1298</v>
      </c>
      <c r="F83">
        <v>1282</v>
      </c>
      <c r="G83">
        <v>1292</v>
      </c>
      <c r="H83">
        <v>1295</v>
      </c>
      <c r="I83">
        <v>1277</v>
      </c>
      <c r="J83">
        <v>1279</v>
      </c>
      <c r="K83">
        <v>1280</v>
      </c>
      <c r="L83">
        <v>1279</v>
      </c>
      <c r="M83">
        <f t="shared" si="14"/>
        <v>1284.7</v>
      </c>
      <c r="N83">
        <f t="shared" si="15"/>
        <v>3363089.0052356021</v>
      </c>
      <c r="O83" s="19">
        <f t="shared" si="18"/>
        <v>7.156116265125938</v>
      </c>
      <c r="P83" s="19">
        <f t="shared" si="19"/>
        <v>5.5702625244227737E-3</v>
      </c>
    </row>
    <row r="84" spans="1:16" ht="16" x14ac:dyDescent="0.4">
      <c r="A84" s="10" t="s">
        <v>97</v>
      </c>
      <c r="B84" s="11"/>
      <c r="C84">
        <v>1221</v>
      </c>
      <c r="D84">
        <v>1317</v>
      </c>
      <c r="E84">
        <v>1435</v>
      </c>
      <c r="F84">
        <v>1438</v>
      </c>
      <c r="G84">
        <v>1293</v>
      </c>
      <c r="H84">
        <v>1274</v>
      </c>
      <c r="I84">
        <v>1401</v>
      </c>
      <c r="J84">
        <v>1423</v>
      </c>
      <c r="K84">
        <v>1288</v>
      </c>
      <c r="L84">
        <v>1404</v>
      </c>
      <c r="M84">
        <f t="shared" si="14"/>
        <v>1349.4</v>
      </c>
      <c r="N84">
        <f t="shared" si="15"/>
        <v>3532460.7329842933</v>
      </c>
      <c r="O84" s="19">
        <f t="shared" si="18"/>
        <v>75.106857210244115</v>
      </c>
      <c r="P84" s="19">
        <f t="shared" si="19"/>
        <v>5.5659446576437017E-2</v>
      </c>
    </row>
    <row r="85" spans="1:16" ht="16" x14ac:dyDescent="0.4">
      <c r="A85" s="10" t="s">
        <v>98</v>
      </c>
      <c r="B85" s="11"/>
      <c r="C85">
        <v>1659</v>
      </c>
      <c r="D85">
        <v>1830</v>
      </c>
      <c r="E85">
        <v>1600</v>
      </c>
      <c r="F85">
        <v>1709</v>
      </c>
      <c r="G85">
        <v>1699</v>
      </c>
      <c r="H85">
        <v>1461</v>
      </c>
      <c r="I85">
        <v>1585</v>
      </c>
      <c r="J85">
        <v>1736</v>
      </c>
      <c r="K85">
        <v>1650</v>
      </c>
      <c r="L85">
        <v>1799</v>
      </c>
      <c r="M85">
        <f t="shared" si="14"/>
        <v>1672.8</v>
      </c>
      <c r="N85">
        <f t="shared" si="15"/>
        <v>4379057.5916230362</v>
      </c>
      <c r="O85" s="19">
        <f t="shared" si="18"/>
        <v>102.57075606623947</v>
      </c>
      <c r="P85" s="19">
        <f t="shared" si="19"/>
        <v>6.1316807787087202E-2</v>
      </c>
    </row>
    <row r="86" spans="1:16" ht="16" x14ac:dyDescent="0.4">
      <c r="A86" s="10" t="s">
        <v>99</v>
      </c>
      <c r="B86" s="11"/>
      <c r="C86">
        <v>1471</v>
      </c>
      <c r="D86">
        <v>1235</v>
      </c>
      <c r="E86">
        <v>1439</v>
      </c>
      <c r="F86">
        <v>1532</v>
      </c>
      <c r="G86">
        <v>1285</v>
      </c>
      <c r="H86">
        <v>1557</v>
      </c>
      <c r="I86">
        <v>1274</v>
      </c>
      <c r="J86">
        <v>1497</v>
      </c>
      <c r="K86">
        <v>1513</v>
      </c>
      <c r="M86">
        <f t="shared" si="14"/>
        <v>1422.5555555555557</v>
      </c>
      <c r="N86">
        <f t="shared" si="15"/>
        <v>3723967.4229203025</v>
      </c>
      <c r="O86" s="19">
        <f t="shared" si="18"/>
        <v>116.69534039170462</v>
      </c>
      <c r="P86" s="19">
        <f t="shared" si="19"/>
        <v>8.2032184919576784E-2</v>
      </c>
    </row>
    <row r="87" spans="1:16" ht="16" x14ac:dyDescent="0.4">
      <c r="A87" s="10" t="s">
        <v>100</v>
      </c>
      <c r="B87" s="11"/>
      <c r="C87">
        <v>1548</v>
      </c>
      <c r="D87">
        <v>1435</v>
      </c>
      <c r="E87">
        <v>1453</v>
      </c>
      <c r="F87">
        <v>1366</v>
      </c>
      <c r="G87">
        <v>1544</v>
      </c>
      <c r="H87">
        <v>1350</v>
      </c>
      <c r="I87">
        <v>1478</v>
      </c>
      <c r="J87">
        <v>1439</v>
      </c>
      <c r="K87">
        <v>1485</v>
      </c>
      <c r="L87">
        <v>1502</v>
      </c>
      <c r="M87">
        <f t="shared" si="14"/>
        <v>1460</v>
      </c>
      <c r="N87">
        <f t="shared" si="15"/>
        <v>3821989.5287958113</v>
      </c>
      <c r="O87" s="19">
        <f t="shared" si="18"/>
        <v>62.89992050869381</v>
      </c>
      <c r="P87" s="19">
        <f t="shared" si="19"/>
        <v>4.3082137334721785E-2</v>
      </c>
    </row>
    <row r="88" spans="1:16" ht="16" x14ac:dyDescent="0.4">
      <c r="A88" s="10" t="s">
        <v>101</v>
      </c>
      <c r="B88" s="11"/>
      <c r="C88">
        <v>1323</v>
      </c>
      <c r="D88">
        <v>1110</v>
      </c>
      <c r="E88">
        <v>1150</v>
      </c>
      <c r="F88">
        <v>1381</v>
      </c>
      <c r="G88">
        <v>1378</v>
      </c>
      <c r="H88">
        <v>1320</v>
      </c>
      <c r="I88">
        <v>1421</v>
      </c>
      <c r="J88">
        <v>1187</v>
      </c>
      <c r="K88">
        <v>1402</v>
      </c>
      <c r="L88">
        <v>1357</v>
      </c>
      <c r="M88">
        <f t="shared" si="14"/>
        <v>1302.9000000000001</v>
      </c>
      <c r="N88">
        <f t="shared" si="15"/>
        <v>3410732.984293194</v>
      </c>
      <c r="O88" s="19">
        <f t="shared" si="18"/>
        <v>106.37335192612856</v>
      </c>
      <c r="P88" s="19">
        <f t="shared" si="19"/>
        <v>8.1643527458844539E-2</v>
      </c>
    </row>
    <row r="89" spans="1:16" ht="16" x14ac:dyDescent="0.4">
      <c r="A89" s="10" t="s">
        <v>102</v>
      </c>
      <c r="B89" s="11"/>
      <c r="C89">
        <v>1181</v>
      </c>
      <c r="D89">
        <v>1372</v>
      </c>
      <c r="E89">
        <v>1388</v>
      </c>
      <c r="F89">
        <v>1328</v>
      </c>
      <c r="G89">
        <v>1316</v>
      </c>
      <c r="H89">
        <v>1144</v>
      </c>
      <c r="I89">
        <v>1172</v>
      </c>
      <c r="J89">
        <v>1397</v>
      </c>
      <c r="K89">
        <v>1148</v>
      </c>
      <c r="L89">
        <v>1300</v>
      </c>
      <c r="M89">
        <f t="shared" si="14"/>
        <v>1274.5999999999999</v>
      </c>
      <c r="N89">
        <f t="shared" si="15"/>
        <v>3336649.2146596853</v>
      </c>
      <c r="O89" s="19">
        <f t="shared" si="18"/>
        <v>97.421968775015017</v>
      </c>
      <c r="P89" s="19">
        <f t="shared" si="19"/>
        <v>7.6433366369853303E-2</v>
      </c>
    </row>
  </sheetData>
  <conditionalFormatting sqref="O67">
    <cfRule type="cellIs" dxfId="6" priority="2" operator="lessThan">
      <formula>0.15</formula>
    </cfRule>
  </conditionalFormatting>
  <conditionalFormatting sqref="P1:P89">
    <cfRule type="cellIs" dxfId="5" priority="1" operator="less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B5B8-98D7-4205-B54E-34FB8DF3F595}">
  <dimension ref="A1:P89"/>
  <sheetViews>
    <sheetView zoomScale="59" workbookViewId="0">
      <selection activeCell="N3" sqref="N3:N12"/>
    </sheetView>
  </sheetViews>
  <sheetFormatPr defaultRowHeight="14.5" x14ac:dyDescent="0.35"/>
  <sheetData>
    <row r="1" spans="1:16" ht="4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6" x14ac:dyDescent="0.4">
      <c r="A2" s="5" t="s">
        <v>16</v>
      </c>
      <c r="B2" s="6"/>
      <c r="C2" s="7"/>
      <c r="D2" s="8"/>
      <c r="E2" s="8"/>
      <c r="F2" s="8"/>
      <c r="G2" s="8"/>
      <c r="H2" s="9"/>
      <c r="I2" s="9"/>
      <c r="J2" s="9"/>
      <c r="K2" s="9"/>
      <c r="L2" s="9"/>
      <c r="M2" s="10"/>
      <c r="N2" s="10"/>
      <c r="O2" s="11"/>
      <c r="P2" s="11"/>
    </row>
    <row r="3" spans="1:16" ht="16" x14ac:dyDescent="0.4">
      <c r="A3" s="9" t="s">
        <v>17</v>
      </c>
      <c r="B3" s="6"/>
      <c r="C3">
        <v>1793</v>
      </c>
      <c r="D3">
        <v>2049</v>
      </c>
      <c r="E3">
        <v>1884</v>
      </c>
      <c r="F3">
        <v>2179</v>
      </c>
      <c r="G3">
        <v>2380</v>
      </c>
      <c r="H3">
        <v>2452</v>
      </c>
      <c r="I3">
        <v>2020</v>
      </c>
      <c r="J3">
        <v>2031</v>
      </c>
      <c r="K3">
        <v>1772</v>
      </c>
      <c r="L3">
        <v>1923</v>
      </c>
      <c r="M3">
        <f>AVERAGE(C3:L3)</f>
        <v>2048.3000000000002</v>
      </c>
      <c r="N3">
        <f>(M3/0.000382)*1</f>
        <v>5362041.8848167546</v>
      </c>
      <c r="O3" s="19">
        <f t="shared" ref="O3:O12" si="0">_xlfn.STDEV.P(C3:L3)</f>
        <v>218.03579981278304</v>
      </c>
      <c r="P3" s="19">
        <f t="shared" ref="P3:P12" si="1">O3/M3</f>
        <v>0.10644720002576918</v>
      </c>
    </row>
    <row r="4" spans="1:16" ht="16" x14ac:dyDescent="0.4">
      <c r="A4" s="12" t="s">
        <v>18</v>
      </c>
      <c r="B4" s="6"/>
      <c r="C4">
        <v>1851</v>
      </c>
      <c r="D4">
        <v>1947</v>
      </c>
      <c r="E4">
        <v>2134</v>
      </c>
      <c r="F4">
        <v>2173</v>
      </c>
      <c r="G4">
        <v>1973</v>
      </c>
      <c r="H4">
        <v>2026</v>
      </c>
      <c r="I4">
        <v>2065</v>
      </c>
      <c r="J4">
        <v>2035</v>
      </c>
      <c r="K4">
        <v>2174</v>
      </c>
      <c r="L4">
        <v>2071</v>
      </c>
      <c r="M4">
        <f t="shared" ref="M4:M67" si="2">AVERAGE(C4:L4)</f>
        <v>2044.9</v>
      </c>
      <c r="N4">
        <f t="shared" ref="N4:N67" si="3">(M4/0.000382)*1</f>
        <v>5353141.3612565445</v>
      </c>
      <c r="O4" s="19">
        <f t="shared" si="0"/>
        <v>97.420172449036443</v>
      </c>
      <c r="P4" s="19">
        <f t="shared" si="1"/>
        <v>4.7640555747976154E-2</v>
      </c>
    </row>
    <row r="5" spans="1:16" ht="16" x14ac:dyDescent="0.4">
      <c r="A5" s="12" t="s">
        <v>19</v>
      </c>
      <c r="B5" s="6"/>
      <c r="C5">
        <v>1829</v>
      </c>
      <c r="D5">
        <v>1537</v>
      </c>
      <c r="E5">
        <v>1991</v>
      </c>
      <c r="F5">
        <v>1678</v>
      </c>
      <c r="G5">
        <v>1844</v>
      </c>
      <c r="H5">
        <v>1739</v>
      </c>
      <c r="I5">
        <v>1822</v>
      </c>
      <c r="J5">
        <v>1661</v>
      </c>
      <c r="K5">
        <v>1492</v>
      </c>
      <c r="L5">
        <v>1467</v>
      </c>
      <c r="M5">
        <f t="shared" si="2"/>
        <v>1706</v>
      </c>
      <c r="N5">
        <f t="shared" si="3"/>
        <v>4465968.586387434</v>
      </c>
      <c r="O5" s="19">
        <f t="shared" si="0"/>
        <v>162.55153029116644</v>
      </c>
      <c r="P5" s="19">
        <f t="shared" si="1"/>
        <v>9.5282256911586427E-2</v>
      </c>
    </row>
    <row r="6" spans="1:16" ht="16" x14ac:dyDescent="0.4">
      <c r="A6" s="12" t="s">
        <v>20</v>
      </c>
      <c r="B6" s="6"/>
      <c r="C6">
        <v>1822</v>
      </c>
      <c r="D6">
        <v>1718</v>
      </c>
      <c r="E6">
        <v>2021</v>
      </c>
      <c r="F6">
        <v>1955</v>
      </c>
      <c r="G6">
        <v>1691</v>
      </c>
      <c r="H6">
        <v>1735</v>
      </c>
      <c r="I6">
        <v>1714</v>
      </c>
      <c r="J6">
        <v>1665</v>
      </c>
      <c r="K6">
        <v>1764</v>
      </c>
      <c r="L6">
        <v>1728</v>
      </c>
      <c r="M6">
        <f t="shared" si="2"/>
        <v>1781.3</v>
      </c>
      <c r="N6">
        <f t="shared" si="3"/>
        <v>4663089.0052356021</v>
      </c>
      <c r="O6" s="19">
        <f t="shared" si="0"/>
        <v>111.7068037319124</v>
      </c>
      <c r="P6" s="19">
        <f t="shared" si="1"/>
        <v>6.2710831264757433E-2</v>
      </c>
    </row>
    <row r="7" spans="1:16" ht="16" x14ac:dyDescent="0.4">
      <c r="A7" s="12" t="s">
        <v>21</v>
      </c>
      <c r="B7" s="6"/>
      <c r="C7">
        <v>2127</v>
      </c>
      <c r="D7">
        <v>1885</v>
      </c>
      <c r="E7">
        <v>2108</v>
      </c>
      <c r="F7">
        <v>2123</v>
      </c>
      <c r="G7">
        <v>2206</v>
      </c>
      <c r="H7">
        <v>2173</v>
      </c>
      <c r="I7">
        <v>2458</v>
      </c>
      <c r="J7">
        <v>2148</v>
      </c>
      <c r="K7">
        <v>2339</v>
      </c>
      <c r="L7">
        <v>2371</v>
      </c>
      <c r="M7">
        <f t="shared" si="2"/>
        <v>2193.8000000000002</v>
      </c>
      <c r="N7">
        <f t="shared" si="3"/>
        <v>5742931.9371727752</v>
      </c>
      <c r="O7" s="19">
        <f t="shared" si="0"/>
        <v>153.99922077724941</v>
      </c>
      <c r="P7" s="19">
        <f t="shared" si="1"/>
        <v>7.0197475055724948E-2</v>
      </c>
    </row>
    <row r="8" spans="1:16" ht="16" x14ac:dyDescent="0.4">
      <c r="A8" s="12" t="s">
        <v>22</v>
      </c>
      <c r="B8" s="11"/>
      <c r="C8">
        <v>1444</v>
      </c>
      <c r="D8">
        <v>1548</v>
      </c>
      <c r="E8">
        <v>1522</v>
      </c>
      <c r="F8">
        <v>1570</v>
      </c>
      <c r="G8">
        <v>1484</v>
      </c>
      <c r="H8">
        <v>1549</v>
      </c>
      <c r="I8">
        <v>1535</v>
      </c>
      <c r="J8">
        <v>1493</v>
      </c>
      <c r="K8">
        <v>1441</v>
      </c>
      <c r="L8">
        <v>1509</v>
      </c>
      <c r="M8">
        <f t="shared" si="2"/>
        <v>1509.5</v>
      </c>
      <c r="N8">
        <f t="shared" si="3"/>
        <v>3951570.6806282722</v>
      </c>
      <c r="O8" s="19">
        <f t="shared" si="0"/>
        <v>41.730684154468399</v>
      </c>
      <c r="P8" s="19">
        <f t="shared" si="1"/>
        <v>2.7645368767451738E-2</v>
      </c>
    </row>
    <row r="9" spans="1:16" ht="16" x14ac:dyDescent="0.4">
      <c r="A9" s="12" t="s">
        <v>23</v>
      </c>
      <c r="B9" s="11"/>
      <c r="C9">
        <v>1409</v>
      </c>
      <c r="D9">
        <v>1432</v>
      </c>
      <c r="E9">
        <v>1452</v>
      </c>
      <c r="F9">
        <v>1340</v>
      </c>
      <c r="G9">
        <v>1472</v>
      </c>
      <c r="H9">
        <v>1411</v>
      </c>
      <c r="I9">
        <v>1430</v>
      </c>
      <c r="J9">
        <v>1379</v>
      </c>
      <c r="K9">
        <v>1426</v>
      </c>
      <c r="L9">
        <v>1000</v>
      </c>
      <c r="M9">
        <f t="shared" si="2"/>
        <v>1375.1</v>
      </c>
      <c r="N9">
        <f t="shared" si="3"/>
        <v>3599738.2198952874</v>
      </c>
      <c r="O9" s="19">
        <f t="shared" si="0"/>
        <v>129.81945154713912</v>
      </c>
      <c r="P9" s="19">
        <f t="shared" si="1"/>
        <v>9.4407280595694226E-2</v>
      </c>
    </row>
    <row r="10" spans="1:16" ht="16" x14ac:dyDescent="0.4">
      <c r="A10" s="12" t="s">
        <v>24</v>
      </c>
      <c r="B10" s="11"/>
      <c r="C10">
        <v>1282</v>
      </c>
      <c r="D10">
        <v>1334</v>
      </c>
      <c r="E10">
        <v>1224</v>
      </c>
      <c r="F10">
        <v>1268</v>
      </c>
      <c r="G10">
        <v>1316</v>
      </c>
      <c r="H10">
        <v>1282</v>
      </c>
      <c r="I10">
        <v>1297</v>
      </c>
      <c r="J10">
        <v>1346</v>
      </c>
      <c r="K10">
        <v>1299</v>
      </c>
      <c r="L10">
        <v>1271</v>
      </c>
      <c r="M10">
        <f t="shared" si="2"/>
        <v>1291.9000000000001</v>
      </c>
      <c r="N10">
        <f t="shared" si="3"/>
        <v>3381937.172774869</v>
      </c>
      <c r="O10" s="19">
        <f t="shared" si="0"/>
        <v>33.422896343674346</v>
      </c>
      <c r="P10" s="19">
        <f t="shared" si="1"/>
        <v>2.5871117225539395E-2</v>
      </c>
    </row>
    <row r="11" spans="1:16" ht="16" x14ac:dyDescent="0.4">
      <c r="A11" s="12" t="s">
        <v>25</v>
      </c>
      <c r="B11" s="11"/>
      <c r="C11">
        <v>1491</v>
      </c>
      <c r="D11">
        <v>1634</v>
      </c>
      <c r="E11">
        <v>1586</v>
      </c>
      <c r="F11">
        <v>1655</v>
      </c>
      <c r="G11">
        <v>1597</v>
      </c>
      <c r="H11">
        <v>1680</v>
      </c>
      <c r="I11">
        <v>1629</v>
      </c>
      <c r="J11">
        <v>1624</v>
      </c>
      <c r="K11">
        <v>1574</v>
      </c>
      <c r="L11">
        <v>1542</v>
      </c>
      <c r="M11">
        <f t="shared" si="2"/>
        <v>1601.2</v>
      </c>
      <c r="N11">
        <f t="shared" si="3"/>
        <v>4191623.0366492146</v>
      </c>
      <c r="O11" s="19">
        <f t="shared" si="0"/>
        <v>53.018487341681109</v>
      </c>
      <c r="P11" s="19">
        <f t="shared" si="1"/>
        <v>3.3111720797952229E-2</v>
      </c>
    </row>
    <row r="12" spans="1:16" ht="16" x14ac:dyDescent="0.4">
      <c r="A12" s="12" t="s">
        <v>26</v>
      </c>
      <c r="B12" s="11"/>
      <c r="C12">
        <v>1352</v>
      </c>
      <c r="D12">
        <v>1321</v>
      </c>
      <c r="E12">
        <v>1380</v>
      </c>
      <c r="F12">
        <v>1350</v>
      </c>
      <c r="G12">
        <v>1362</v>
      </c>
      <c r="H12">
        <v>1330</v>
      </c>
      <c r="I12">
        <v>1365</v>
      </c>
      <c r="J12">
        <v>1357</v>
      </c>
      <c r="K12">
        <v>1317</v>
      </c>
      <c r="L12">
        <v>1318</v>
      </c>
      <c r="M12">
        <f t="shared" si="2"/>
        <v>1345.2</v>
      </c>
      <c r="N12">
        <f t="shared" si="3"/>
        <v>3521465.9685863876</v>
      </c>
      <c r="O12" s="19">
        <f t="shared" si="0"/>
        <v>21.08459153030952</v>
      </c>
      <c r="P12" s="19">
        <f t="shared" si="1"/>
        <v>1.5673945532492954E-2</v>
      </c>
    </row>
    <row r="13" spans="1:16" ht="16" x14ac:dyDescent="0.4">
      <c r="A13" s="13" t="s">
        <v>27</v>
      </c>
      <c r="B13" s="6"/>
      <c r="O13" s="19"/>
      <c r="P13" s="19"/>
    </row>
    <row r="14" spans="1:16" ht="16" x14ac:dyDescent="0.4">
      <c r="A14" s="14" t="s">
        <v>28</v>
      </c>
      <c r="B14" s="11"/>
      <c r="C14">
        <v>1265</v>
      </c>
      <c r="D14">
        <v>1157</v>
      </c>
      <c r="E14">
        <v>1253</v>
      </c>
      <c r="F14">
        <v>1240</v>
      </c>
      <c r="G14">
        <v>1212</v>
      </c>
      <c r="H14">
        <v>1245</v>
      </c>
      <c r="I14">
        <v>1236</v>
      </c>
      <c r="J14">
        <v>1185</v>
      </c>
      <c r="K14">
        <v>1176</v>
      </c>
      <c r="L14">
        <v>1224</v>
      </c>
      <c r="M14">
        <f t="shared" si="2"/>
        <v>1219.3</v>
      </c>
      <c r="N14">
        <f t="shared" si="3"/>
        <v>3191884.8167539267</v>
      </c>
      <c r="O14" s="19">
        <f t="shared" ref="O14:O23" si="4">_xlfn.STDEV.P(C14:L14)</f>
        <v>34.05891953659129</v>
      </c>
      <c r="P14" s="19">
        <f t="shared" ref="P14:P23" si="5">O14/M14</f>
        <v>2.7933174392349127E-2</v>
      </c>
    </row>
    <row r="15" spans="1:16" ht="16" x14ac:dyDescent="0.4">
      <c r="A15" s="14" t="s">
        <v>29</v>
      </c>
      <c r="B15" s="11"/>
      <c r="C15">
        <v>1221</v>
      </c>
      <c r="D15">
        <v>1210</v>
      </c>
      <c r="E15">
        <v>1168</v>
      </c>
      <c r="F15">
        <v>1205</v>
      </c>
      <c r="G15">
        <v>1191</v>
      </c>
      <c r="H15">
        <v>1196</v>
      </c>
      <c r="I15">
        <v>1191</v>
      </c>
      <c r="J15">
        <v>1187</v>
      </c>
      <c r="K15">
        <v>1171</v>
      </c>
      <c r="L15">
        <v>1183</v>
      </c>
      <c r="M15">
        <f t="shared" si="2"/>
        <v>1192.3</v>
      </c>
      <c r="N15">
        <f t="shared" si="3"/>
        <v>3121204.188481675</v>
      </c>
      <c r="O15" s="19">
        <f t="shared" si="4"/>
        <v>15.729272074701996</v>
      </c>
      <c r="P15" s="19">
        <f t="shared" si="5"/>
        <v>1.3192377819929544E-2</v>
      </c>
    </row>
    <row r="16" spans="1:16" ht="16" x14ac:dyDescent="0.4">
      <c r="A16" s="14" t="s">
        <v>30</v>
      </c>
      <c r="B16" s="11"/>
      <c r="C16">
        <v>1281</v>
      </c>
      <c r="D16">
        <v>1252</v>
      </c>
      <c r="E16">
        <v>1215</v>
      </c>
      <c r="F16">
        <v>1202</v>
      </c>
      <c r="G16">
        <v>1235</v>
      </c>
      <c r="H16">
        <v>1238</v>
      </c>
      <c r="I16">
        <v>1308</v>
      </c>
      <c r="J16">
        <v>1207</v>
      </c>
      <c r="K16">
        <v>1222</v>
      </c>
      <c r="L16">
        <v>1221</v>
      </c>
      <c r="M16">
        <f t="shared" si="2"/>
        <v>1238.0999999999999</v>
      </c>
      <c r="N16">
        <f t="shared" si="3"/>
        <v>3241099.4764397903</v>
      </c>
      <c r="O16" s="19">
        <f t="shared" si="4"/>
        <v>32.070079513465501</v>
      </c>
      <c r="P16" s="19">
        <f t="shared" si="5"/>
        <v>2.5902656904503274E-2</v>
      </c>
    </row>
    <row r="17" spans="1:16" ht="16" x14ac:dyDescent="0.4">
      <c r="A17" s="14" t="s">
        <v>31</v>
      </c>
      <c r="B17" s="11"/>
      <c r="C17">
        <v>1209</v>
      </c>
      <c r="D17">
        <v>1215</v>
      </c>
      <c r="E17">
        <v>1182</v>
      </c>
      <c r="F17">
        <v>1206</v>
      </c>
      <c r="G17">
        <v>1226</v>
      </c>
      <c r="H17">
        <v>1131</v>
      </c>
      <c r="I17">
        <v>1231</v>
      </c>
      <c r="J17">
        <v>1177</v>
      </c>
      <c r="K17">
        <v>1206</v>
      </c>
      <c r="L17">
        <v>1191</v>
      </c>
      <c r="M17">
        <f t="shared" si="2"/>
        <v>1197.4000000000001</v>
      </c>
      <c r="N17">
        <f t="shared" si="3"/>
        <v>3134554.9738219897</v>
      </c>
      <c r="O17" s="19">
        <f t="shared" si="4"/>
        <v>27.644891028904418</v>
      </c>
      <c r="P17" s="19">
        <f t="shared" si="5"/>
        <v>2.3087431960000349E-2</v>
      </c>
    </row>
    <row r="18" spans="1:16" ht="16" x14ac:dyDescent="0.4">
      <c r="A18" s="14" t="s">
        <v>32</v>
      </c>
      <c r="B18" s="11"/>
      <c r="C18">
        <v>1066</v>
      </c>
      <c r="D18">
        <v>1097</v>
      </c>
      <c r="E18">
        <v>1065</v>
      </c>
      <c r="F18">
        <v>1099</v>
      </c>
      <c r="G18">
        <v>1091</v>
      </c>
      <c r="H18">
        <v>1078</v>
      </c>
      <c r="I18">
        <v>1107</v>
      </c>
      <c r="J18">
        <v>1109</v>
      </c>
      <c r="K18">
        <v>1141</v>
      </c>
      <c r="L18">
        <v>1077</v>
      </c>
      <c r="M18">
        <f t="shared" si="2"/>
        <v>1093</v>
      </c>
      <c r="N18">
        <f t="shared" si="3"/>
        <v>2861256.5445026178</v>
      </c>
      <c r="O18" s="19">
        <f t="shared" si="4"/>
        <v>21.922591087734133</v>
      </c>
      <c r="P18" s="19">
        <f t="shared" si="5"/>
        <v>2.0057265405063252E-2</v>
      </c>
    </row>
    <row r="19" spans="1:16" ht="16" x14ac:dyDescent="0.4">
      <c r="A19" s="14" t="s">
        <v>33</v>
      </c>
      <c r="B19" s="11"/>
      <c r="C19">
        <v>1292</v>
      </c>
      <c r="D19">
        <v>1332</v>
      </c>
      <c r="E19">
        <v>1369</v>
      </c>
      <c r="F19">
        <v>1262</v>
      </c>
      <c r="G19">
        <v>1317</v>
      </c>
      <c r="H19">
        <v>1338</v>
      </c>
      <c r="I19">
        <v>1346</v>
      </c>
      <c r="J19">
        <v>1330</v>
      </c>
      <c r="K19">
        <v>1322</v>
      </c>
      <c r="L19">
        <v>1314</v>
      </c>
      <c r="M19">
        <f t="shared" si="2"/>
        <v>1322.2</v>
      </c>
      <c r="N19">
        <f t="shared" si="3"/>
        <v>3461256.5445026178</v>
      </c>
      <c r="O19" s="19">
        <f t="shared" si="4"/>
        <v>27.91701989826278</v>
      </c>
      <c r="P19" s="19">
        <f t="shared" si="5"/>
        <v>2.1114067386373302E-2</v>
      </c>
    </row>
    <row r="20" spans="1:16" ht="16" x14ac:dyDescent="0.4">
      <c r="A20" s="14" t="s">
        <v>34</v>
      </c>
      <c r="B20" s="11"/>
      <c r="C20">
        <v>1401</v>
      </c>
      <c r="D20">
        <v>1391</v>
      </c>
      <c r="E20">
        <v>1368</v>
      </c>
      <c r="F20">
        <v>1419</v>
      </c>
      <c r="G20">
        <v>1424</v>
      </c>
      <c r="H20">
        <v>1477</v>
      </c>
      <c r="I20">
        <v>1419</v>
      </c>
      <c r="J20">
        <v>1463</v>
      </c>
      <c r="K20">
        <v>1407</v>
      </c>
      <c r="L20">
        <v>1359</v>
      </c>
      <c r="M20">
        <f t="shared" si="2"/>
        <v>1412.8</v>
      </c>
      <c r="N20">
        <f t="shared" si="3"/>
        <v>3698429.3193717273</v>
      </c>
      <c r="O20" s="19">
        <f t="shared" si="4"/>
        <v>35.204545161101002</v>
      </c>
      <c r="P20" s="19">
        <f t="shared" si="5"/>
        <v>2.4918279417540348E-2</v>
      </c>
    </row>
    <row r="21" spans="1:16" ht="16" x14ac:dyDescent="0.4">
      <c r="A21" s="14" t="s">
        <v>35</v>
      </c>
      <c r="B21" s="11"/>
      <c r="C21">
        <v>1262</v>
      </c>
      <c r="D21">
        <v>1236</v>
      </c>
      <c r="E21">
        <v>1201</v>
      </c>
      <c r="F21">
        <v>1296</v>
      </c>
      <c r="G21">
        <v>1339</v>
      </c>
      <c r="H21">
        <v>1302</v>
      </c>
      <c r="I21">
        <v>1283</v>
      </c>
      <c r="J21">
        <v>1302</v>
      </c>
      <c r="K21">
        <v>1340</v>
      </c>
      <c r="L21">
        <v>1353</v>
      </c>
      <c r="M21">
        <f t="shared" si="2"/>
        <v>1291.4000000000001</v>
      </c>
      <c r="N21">
        <f t="shared" si="3"/>
        <v>3380628.2722513089</v>
      </c>
      <c r="O21" s="19">
        <f t="shared" si="4"/>
        <v>45.655667775206183</v>
      </c>
      <c r="P21" s="19">
        <f t="shared" si="5"/>
        <v>3.535362225120503E-2</v>
      </c>
    </row>
    <row r="22" spans="1:16" ht="16" x14ac:dyDescent="0.4">
      <c r="A22" s="14" t="s">
        <v>36</v>
      </c>
      <c r="B22" s="11"/>
      <c r="C22">
        <v>1255</v>
      </c>
      <c r="D22">
        <v>1252</v>
      </c>
      <c r="E22">
        <v>1278</v>
      </c>
      <c r="F22">
        <v>1240</v>
      </c>
      <c r="G22">
        <v>1292</v>
      </c>
      <c r="H22">
        <v>1293</v>
      </c>
      <c r="I22">
        <v>1281</v>
      </c>
      <c r="J22">
        <v>1268</v>
      </c>
      <c r="K22">
        <v>1254</v>
      </c>
      <c r="L22">
        <v>1245</v>
      </c>
      <c r="M22">
        <f t="shared" si="2"/>
        <v>1265.8</v>
      </c>
      <c r="N22">
        <f t="shared" si="3"/>
        <v>3313612.5654450259</v>
      </c>
      <c r="O22" s="19">
        <f t="shared" si="4"/>
        <v>18.318296864064628</v>
      </c>
      <c r="P22" s="19">
        <f t="shared" si="5"/>
        <v>1.4471715013481299E-2</v>
      </c>
    </row>
    <row r="23" spans="1:16" ht="16" x14ac:dyDescent="0.4">
      <c r="A23" s="14" t="s">
        <v>37</v>
      </c>
      <c r="B23" s="11"/>
      <c r="C23">
        <v>1195</v>
      </c>
      <c r="D23">
        <v>1192</v>
      </c>
      <c r="E23">
        <v>1221</v>
      </c>
      <c r="F23">
        <v>1234</v>
      </c>
      <c r="G23">
        <v>1262</v>
      </c>
      <c r="H23">
        <v>1287</v>
      </c>
      <c r="I23">
        <v>1299</v>
      </c>
      <c r="J23">
        <v>1271</v>
      </c>
      <c r="K23">
        <v>1236</v>
      </c>
      <c r="L23">
        <v>1288</v>
      </c>
      <c r="M23">
        <f t="shared" si="2"/>
        <v>1248.5</v>
      </c>
      <c r="N23">
        <f t="shared" si="3"/>
        <v>3268324.6073298426</v>
      </c>
      <c r="O23" s="19">
        <f t="shared" si="4"/>
        <v>36.685828326480511</v>
      </c>
      <c r="P23" s="19">
        <f t="shared" si="5"/>
        <v>2.9383923369227481E-2</v>
      </c>
    </row>
    <row r="24" spans="1:16" ht="16" x14ac:dyDescent="0.4">
      <c r="A24" s="15" t="s">
        <v>38</v>
      </c>
      <c r="B24" s="6"/>
      <c r="O24" s="19"/>
      <c r="P24" s="19"/>
    </row>
    <row r="25" spans="1:16" ht="16" x14ac:dyDescent="0.4">
      <c r="A25" s="9" t="s">
        <v>39</v>
      </c>
      <c r="B25" s="6"/>
      <c r="C25">
        <v>1137</v>
      </c>
      <c r="D25">
        <v>1130</v>
      </c>
      <c r="E25">
        <v>1140</v>
      </c>
      <c r="F25">
        <v>1125</v>
      </c>
      <c r="G25">
        <v>1122</v>
      </c>
      <c r="H25">
        <v>1141</v>
      </c>
      <c r="I25">
        <v>1076</v>
      </c>
      <c r="J25">
        <v>1108</v>
      </c>
      <c r="K25">
        <v>1101</v>
      </c>
      <c r="L25">
        <v>1130</v>
      </c>
      <c r="M25">
        <f t="shared" si="2"/>
        <v>1121</v>
      </c>
      <c r="N25">
        <f t="shared" si="3"/>
        <v>2934554.9738219893</v>
      </c>
      <c r="O25" s="19">
        <f t="shared" ref="O25:O34" si="6">_xlfn.STDEV.P(C25:L25)</f>
        <v>19.467922333931785</v>
      </c>
      <c r="P25" s="19">
        <f t="shared" ref="P25:P34" si="7">O25/M25</f>
        <v>1.7366567648467248E-2</v>
      </c>
    </row>
    <row r="26" spans="1:16" ht="16" x14ac:dyDescent="0.4">
      <c r="A26" s="9" t="s">
        <v>40</v>
      </c>
      <c r="B26" s="6"/>
      <c r="C26">
        <v>1225</v>
      </c>
      <c r="D26">
        <v>1196</v>
      </c>
      <c r="E26">
        <v>1240</v>
      </c>
      <c r="F26">
        <v>1197</v>
      </c>
      <c r="G26">
        <v>1253</v>
      </c>
      <c r="H26">
        <v>1266</v>
      </c>
      <c r="I26">
        <v>1234</v>
      </c>
      <c r="J26">
        <v>1276</v>
      </c>
      <c r="K26">
        <v>1288</v>
      </c>
      <c r="L26">
        <v>1232</v>
      </c>
      <c r="M26">
        <f t="shared" si="2"/>
        <v>1240.7</v>
      </c>
      <c r="N26">
        <f t="shared" si="3"/>
        <v>3247905.7591623035</v>
      </c>
      <c r="O26" s="19">
        <f t="shared" si="6"/>
        <v>29.240554030318918</v>
      </c>
      <c r="P26" s="19">
        <f t="shared" si="7"/>
        <v>2.3567787563729278E-2</v>
      </c>
    </row>
    <row r="27" spans="1:16" ht="16" x14ac:dyDescent="0.4">
      <c r="A27" s="9" t="s">
        <v>41</v>
      </c>
      <c r="B27" s="6"/>
      <c r="C27">
        <v>1206</v>
      </c>
      <c r="D27">
        <v>1159</v>
      </c>
      <c r="E27">
        <v>1179</v>
      </c>
      <c r="F27">
        <v>1186</v>
      </c>
      <c r="G27">
        <v>1161</v>
      </c>
      <c r="H27">
        <v>1129</v>
      </c>
      <c r="I27">
        <v>1153</v>
      </c>
      <c r="J27">
        <v>1096</v>
      </c>
      <c r="K27">
        <v>1192</v>
      </c>
      <c r="L27">
        <v>1156</v>
      </c>
      <c r="M27">
        <f t="shared" si="2"/>
        <v>1161.7</v>
      </c>
      <c r="N27">
        <f t="shared" si="3"/>
        <v>3041099.4764397908</v>
      </c>
      <c r="O27" s="19">
        <f t="shared" si="6"/>
        <v>30.450123152460318</v>
      </c>
      <c r="P27" s="19">
        <f t="shared" si="7"/>
        <v>2.6211692478660856E-2</v>
      </c>
    </row>
    <row r="28" spans="1:16" ht="16" x14ac:dyDescent="0.4">
      <c r="A28" s="9" t="s">
        <v>42</v>
      </c>
      <c r="B28" s="6"/>
      <c r="C28">
        <v>1119</v>
      </c>
      <c r="D28">
        <v>1113</v>
      </c>
      <c r="E28">
        <v>1114</v>
      </c>
      <c r="F28">
        <v>1101</v>
      </c>
      <c r="G28">
        <v>1141</v>
      </c>
      <c r="H28">
        <v>1118</v>
      </c>
      <c r="I28">
        <v>1143</v>
      </c>
      <c r="J28">
        <v>1120</v>
      </c>
      <c r="K28">
        <v>1158</v>
      </c>
      <c r="L28">
        <v>1124</v>
      </c>
      <c r="M28">
        <f t="shared" si="2"/>
        <v>1125.0999999999999</v>
      </c>
      <c r="N28">
        <f t="shared" si="3"/>
        <v>2945287.9581151828</v>
      </c>
      <c r="O28" s="19">
        <f t="shared" si="6"/>
        <v>16.189193926814269</v>
      </c>
      <c r="P28" s="19">
        <f t="shared" si="7"/>
        <v>1.4389115569117652E-2</v>
      </c>
    </row>
    <row r="29" spans="1:16" ht="16" x14ac:dyDescent="0.4">
      <c r="A29" s="9" t="s">
        <v>43</v>
      </c>
      <c r="B29" s="11"/>
      <c r="C29">
        <v>1175</v>
      </c>
      <c r="D29">
        <v>1197</v>
      </c>
      <c r="E29">
        <v>1209</v>
      </c>
      <c r="F29">
        <v>1201</v>
      </c>
      <c r="G29">
        <v>1219</v>
      </c>
      <c r="H29">
        <v>1198</v>
      </c>
      <c r="I29">
        <v>1203</v>
      </c>
      <c r="J29">
        <v>1189</v>
      </c>
      <c r="K29">
        <v>1222</v>
      </c>
      <c r="L29">
        <v>1211</v>
      </c>
      <c r="M29">
        <f t="shared" si="2"/>
        <v>1202.4000000000001</v>
      </c>
      <c r="N29">
        <f t="shared" si="3"/>
        <v>3147643.9790575919</v>
      </c>
      <c r="O29" s="19">
        <f t="shared" si="6"/>
        <v>13.260467563400621</v>
      </c>
      <c r="P29" s="19">
        <f t="shared" si="7"/>
        <v>1.1028332970226729E-2</v>
      </c>
    </row>
    <row r="30" spans="1:16" ht="16" x14ac:dyDescent="0.4">
      <c r="A30" s="9" t="s">
        <v>44</v>
      </c>
      <c r="B30" s="11"/>
      <c r="C30">
        <v>1170</v>
      </c>
      <c r="D30">
        <v>1130</v>
      </c>
      <c r="E30">
        <v>1163</v>
      </c>
      <c r="F30">
        <v>1159</v>
      </c>
      <c r="G30">
        <v>1175</v>
      </c>
      <c r="H30">
        <v>1144</v>
      </c>
      <c r="I30">
        <v>1150</v>
      </c>
      <c r="J30">
        <v>1169</v>
      </c>
      <c r="K30">
        <v>1189</v>
      </c>
      <c r="L30">
        <v>1138</v>
      </c>
      <c r="M30">
        <f t="shared" si="2"/>
        <v>1158.7</v>
      </c>
      <c r="N30">
        <f t="shared" si="3"/>
        <v>3033246.0732984291</v>
      </c>
      <c r="O30" s="19">
        <f t="shared" si="6"/>
        <v>17.262966141425405</v>
      </c>
      <c r="P30" s="19">
        <f t="shared" si="7"/>
        <v>1.4898564029882976E-2</v>
      </c>
    </row>
    <row r="31" spans="1:16" ht="16" x14ac:dyDescent="0.4">
      <c r="A31" s="9" t="s">
        <v>45</v>
      </c>
      <c r="B31" s="11"/>
      <c r="C31">
        <v>1204</v>
      </c>
      <c r="D31">
        <v>1218</v>
      </c>
      <c r="E31">
        <v>1229</v>
      </c>
      <c r="F31">
        <v>1140</v>
      </c>
      <c r="G31">
        <v>1231</v>
      </c>
      <c r="H31">
        <v>1249</v>
      </c>
      <c r="I31">
        <v>1272</v>
      </c>
      <c r="J31">
        <v>1207</v>
      </c>
      <c r="K31">
        <v>1200</v>
      </c>
      <c r="L31">
        <v>1234</v>
      </c>
      <c r="M31">
        <f t="shared" si="2"/>
        <v>1218.4000000000001</v>
      </c>
      <c r="N31">
        <f t="shared" si="3"/>
        <v>3189528.7958115186</v>
      </c>
      <c r="O31" s="19">
        <f t="shared" si="6"/>
        <v>33.386224704209965</v>
      </c>
      <c r="P31" s="19">
        <f t="shared" si="7"/>
        <v>2.7401694602930043E-2</v>
      </c>
    </row>
    <row r="32" spans="1:16" ht="16" x14ac:dyDescent="0.4">
      <c r="A32" s="9" t="s">
        <v>46</v>
      </c>
      <c r="B32" s="11"/>
      <c r="C32">
        <v>1192</v>
      </c>
      <c r="D32">
        <v>1190</v>
      </c>
      <c r="E32">
        <v>1234</v>
      </c>
      <c r="F32">
        <v>1205</v>
      </c>
      <c r="G32">
        <v>1233</v>
      </c>
      <c r="H32">
        <v>1203</v>
      </c>
      <c r="I32">
        <v>1220</v>
      </c>
      <c r="J32">
        <v>1195</v>
      </c>
      <c r="K32">
        <v>1213</v>
      </c>
      <c r="L32">
        <v>1243</v>
      </c>
      <c r="M32">
        <f t="shared" si="2"/>
        <v>1212.8</v>
      </c>
      <c r="N32">
        <f t="shared" si="3"/>
        <v>3174869.1099476437</v>
      </c>
      <c r="O32" s="19">
        <f t="shared" si="6"/>
        <v>18.021098745637012</v>
      </c>
      <c r="P32" s="19">
        <f t="shared" si="7"/>
        <v>1.4859085377339225E-2</v>
      </c>
    </row>
    <row r="33" spans="1:16" ht="16" x14ac:dyDescent="0.4">
      <c r="A33" s="9" t="s">
        <v>47</v>
      </c>
      <c r="B33" s="11"/>
      <c r="C33">
        <v>1302</v>
      </c>
      <c r="D33">
        <v>1315</v>
      </c>
      <c r="E33">
        <v>1249</v>
      </c>
      <c r="F33">
        <v>1314</v>
      </c>
      <c r="G33">
        <v>1330</v>
      </c>
      <c r="H33">
        <v>1327</v>
      </c>
      <c r="I33">
        <v>1369</v>
      </c>
      <c r="J33">
        <v>1334</v>
      </c>
      <c r="K33">
        <v>1341</v>
      </c>
      <c r="L33">
        <v>1320</v>
      </c>
      <c r="M33">
        <f t="shared" si="2"/>
        <v>1320.1</v>
      </c>
      <c r="N33">
        <f t="shared" si="3"/>
        <v>3455759.1623036647</v>
      </c>
      <c r="O33" s="19">
        <f t="shared" si="6"/>
        <v>29.347742672989352</v>
      </c>
      <c r="P33" s="19">
        <f t="shared" si="7"/>
        <v>2.2231454187553484E-2</v>
      </c>
    </row>
    <row r="34" spans="1:16" ht="16" x14ac:dyDescent="0.4">
      <c r="A34" s="9" t="s">
        <v>48</v>
      </c>
      <c r="B34" s="11"/>
      <c r="C34">
        <v>1085</v>
      </c>
      <c r="D34">
        <v>1096</v>
      </c>
      <c r="E34">
        <v>1088</v>
      </c>
      <c r="F34">
        <v>1095</v>
      </c>
      <c r="G34">
        <v>1099</v>
      </c>
      <c r="H34">
        <v>1113</v>
      </c>
      <c r="I34">
        <v>1091</v>
      </c>
      <c r="J34">
        <v>1091</v>
      </c>
      <c r="K34">
        <v>1090</v>
      </c>
      <c r="L34">
        <v>1092</v>
      </c>
      <c r="M34">
        <f t="shared" si="2"/>
        <v>1094</v>
      </c>
      <c r="N34">
        <f t="shared" si="3"/>
        <v>2863874.345549738</v>
      </c>
      <c r="O34" s="19">
        <f t="shared" si="6"/>
        <v>7.3891812807644666</v>
      </c>
      <c r="P34" s="19">
        <f t="shared" si="7"/>
        <v>6.7542790500589277E-3</v>
      </c>
    </row>
    <row r="35" spans="1:16" ht="16" x14ac:dyDescent="0.4">
      <c r="A35" s="16" t="s">
        <v>49</v>
      </c>
      <c r="B35" s="6"/>
      <c r="O35" s="19"/>
      <c r="P35" s="19"/>
    </row>
    <row r="36" spans="1:16" ht="16" x14ac:dyDescent="0.4">
      <c r="A36" s="9" t="s">
        <v>50</v>
      </c>
      <c r="B36" s="11"/>
      <c r="C36">
        <v>1397</v>
      </c>
      <c r="D36">
        <v>1349</v>
      </c>
      <c r="E36">
        <v>1410</v>
      </c>
      <c r="F36">
        <v>1286</v>
      </c>
      <c r="G36">
        <v>1361</v>
      </c>
      <c r="H36">
        <v>1224</v>
      </c>
      <c r="I36">
        <v>1412</v>
      </c>
      <c r="J36">
        <v>1330</v>
      </c>
      <c r="K36">
        <v>1381</v>
      </c>
      <c r="L36">
        <v>1389</v>
      </c>
      <c r="M36">
        <f t="shared" si="2"/>
        <v>1353.9</v>
      </c>
      <c r="N36">
        <f t="shared" si="3"/>
        <v>3544240.8376963353</v>
      </c>
      <c r="O36" s="19">
        <f t="shared" ref="O36:O45" si="8">_xlfn.STDEV.P(C36:L36)</f>
        <v>56.988507613377628</v>
      </c>
      <c r="P36" s="19">
        <f t="shared" ref="P36:P45" si="9">O36/M36</f>
        <v>4.2092109914600502E-2</v>
      </c>
    </row>
    <row r="37" spans="1:16" ht="16" x14ac:dyDescent="0.4">
      <c r="A37" s="9" t="s">
        <v>51</v>
      </c>
      <c r="B37" s="11"/>
      <c r="C37">
        <v>1165</v>
      </c>
      <c r="D37">
        <v>1182</v>
      </c>
      <c r="E37">
        <v>1220</v>
      </c>
      <c r="F37">
        <v>1203</v>
      </c>
      <c r="G37">
        <v>1167</v>
      </c>
      <c r="H37">
        <v>1186</v>
      </c>
      <c r="I37">
        <v>1155</v>
      </c>
      <c r="J37">
        <v>1117</v>
      </c>
      <c r="K37">
        <v>1184</v>
      </c>
      <c r="L37">
        <v>1169</v>
      </c>
      <c r="M37">
        <f t="shared" si="2"/>
        <v>1174.8</v>
      </c>
      <c r="N37">
        <f t="shared" si="3"/>
        <v>3075392.6701570679</v>
      </c>
      <c r="O37" s="19">
        <f t="shared" si="8"/>
        <v>26.502075390429333</v>
      </c>
      <c r="P37" s="19">
        <f t="shared" si="9"/>
        <v>2.255879757442061E-2</v>
      </c>
    </row>
    <row r="38" spans="1:16" ht="16" x14ac:dyDescent="0.4">
      <c r="A38" s="9" t="s">
        <v>52</v>
      </c>
      <c r="B38" s="11"/>
      <c r="C38">
        <v>1212</v>
      </c>
      <c r="D38">
        <v>1225</v>
      </c>
      <c r="E38">
        <v>1232</v>
      </c>
      <c r="F38">
        <v>1291</v>
      </c>
      <c r="G38">
        <v>1208</v>
      </c>
      <c r="H38">
        <v>1243</v>
      </c>
      <c r="I38">
        <v>1207</v>
      </c>
      <c r="J38">
        <v>1160</v>
      </c>
      <c r="K38">
        <v>1218</v>
      </c>
      <c r="L38">
        <v>1198</v>
      </c>
      <c r="M38">
        <f t="shared" si="2"/>
        <v>1219.4000000000001</v>
      </c>
      <c r="N38">
        <f t="shared" si="3"/>
        <v>3192146.5968586388</v>
      </c>
      <c r="O38" s="19">
        <f t="shared" si="8"/>
        <v>31.938065063494378</v>
      </c>
      <c r="P38" s="19">
        <f t="shared" si="9"/>
        <v>2.6191622981379673E-2</v>
      </c>
    </row>
    <row r="39" spans="1:16" ht="16" x14ac:dyDescent="0.4">
      <c r="A39" s="9" t="s">
        <v>53</v>
      </c>
      <c r="B39" s="11"/>
      <c r="C39">
        <v>1137</v>
      </c>
      <c r="D39">
        <v>1161</v>
      </c>
      <c r="E39">
        <v>1151</v>
      </c>
      <c r="F39">
        <v>1150</v>
      </c>
      <c r="G39">
        <v>1118</v>
      </c>
      <c r="H39">
        <v>1141</v>
      </c>
      <c r="I39">
        <v>1145</v>
      </c>
      <c r="J39">
        <v>1110</v>
      </c>
      <c r="K39">
        <v>1094</v>
      </c>
      <c r="L39">
        <v>1142</v>
      </c>
      <c r="M39">
        <f t="shared" si="2"/>
        <v>1134.9000000000001</v>
      </c>
      <c r="N39">
        <f t="shared" si="3"/>
        <v>2970942.4083769633</v>
      </c>
      <c r="O39" s="19">
        <f t="shared" si="8"/>
        <v>19.851700179077863</v>
      </c>
      <c r="P39" s="19">
        <f t="shared" si="9"/>
        <v>1.7492025886930884E-2</v>
      </c>
    </row>
    <row r="40" spans="1:16" ht="16" x14ac:dyDescent="0.4">
      <c r="A40" s="9" t="s">
        <v>54</v>
      </c>
      <c r="B40" s="11"/>
      <c r="C40">
        <v>1110</v>
      </c>
      <c r="D40">
        <v>1133</v>
      </c>
      <c r="E40">
        <v>1100</v>
      </c>
      <c r="F40">
        <v>1114</v>
      </c>
      <c r="G40">
        <v>1139</v>
      </c>
      <c r="H40">
        <v>1128</v>
      </c>
      <c r="K40">
        <v>1586</v>
      </c>
      <c r="L40">
        <v>1126</v>
      </c>
      <c r="M40">
        <f t="shared" si="2"/>
        <v>1179.5</v>
      </c>
      <c r="N40">
        <f t="shared" si="3"/>
        <v>3087696.3350785337</v>
      </c>
      <c r="O40" s="19">
        <f t="shared" si="8"/>
        <v>154.11035007422441</v>
      </c>
      <c r="P40" s="19">
        <f t="shared" si="9"/>
        <v>0.13065735487428945</v>
      </c>
    </row>
    <row r="41" spans="1:16" ht="16" x14ac:dyDescent="0.4">
      <c r="A41" s="9" t="s">
        <v>55</v>
      </c>
      <c r="B41" s="11"/>
      <c r="C41">
        <v>1050</v>
      </c>
      <c r="D41">
        <v>1075</v>
      </c>
      <c r="E41">
        <v>1091</v>
      </c>
      <c r="F41">
        <v>1101</v>
      </c>
      <c r="G41">
        <v>1117</v>
      </c>
      <c r="H41">
        <v>1152</v>
      </c>
      <c r="I41">
        <v>1142</v>
      </c>
      <c r="J41">
        <v>1095</v>
      </c>
      <c r="K41">
        <v>1137</v>
      </c>
      <c r="L41">
        <v>1135</v>
      </c>
      <c r="M41">
        <f t="shared" si="2"/>
        <v>1109.5</v>
      </c>
      <c r="N41">
        <f t="shared" si="3"/>
        <v>2904450.2617801046</v>
      </c>
      <c r="O41" s="19">
        <f t="shared" si="8"/>
        <v>31.113501892265358</v>
      </c>
      <c r="P41" s="19">
        <f t="shared" si="9"/>
        <v>2.8042813783024208E-2</v>
      </c>
    </row>
    <row r="42" spans="1:16" ht="16" x14ac:dyDescent="0.4">
      <c r="A42" s="9" t="s">
        <v>56</v>
      </c>
      <c r="B42" s="11"/>
      <c r="C42">
        <v>1142</v>
      </c>
      <c r="D42">
        <v>1129</v>
      </c>
      <c r="E42">
        <v>1192</v>
      </c>
      <c r="F42">
        <v>1173</v>
      </c>
      <c r="G42">
        <v>1177</v>
      </c>
      <c r="H42">
        <v>1202</v>
      </c>
      <c r="I42">
        <v>1231</v>
      </c>
      <c r="J42">
        <v>1233</v>
      </c>
      <c r="K42">
        <v>1251</v>
      </c>
      <c r="L42">
        <v>1229</v>
      </c>
      <c r="M42">
        <f t="shared" si="2"/>
        <v>1195.9000000000001</v>
      </c>
      <c r="N42">
        <f t="shared" si="3"/>
        <v>3130628.2722513089</v>
      </c>
      <c r="O42" s="19">
        <f t="shared" si="8"/>
        <v>38.80064432454698</v>
      </c>
      <c r="P42" s="19">
        <f t="shared" si="9"/>
        <v>3.2444723074292983E-2</v>
      </c>
    </row>
    <row r="43" spans="1:16" ht="16" x14ac:dyDescent="0.4">
      <c r="A43" s="9" t="s">
        <v>57</v>
      </c>
      <c r="B43" s="11"/>
      <c r="C43">
        <v>1106</v>
      </c>
      <c r="D43">
        <v>1110</v>
      </c>
      <c r="E43">
        <v>1182</v>
      </c>
      <c r="F43">
        <v>1196</v>
      </c>
      <c r="G43">
        <v>1231</v>
      </c>
      <c r="H43">
        <v>1238</v>
      </c>
      <c r="I43">
        <v>1284</v>
      </c>
      <c r="J43">
        <v>1297</v>
      </c>
      <c r="K43">
        <v>1374</v>
      </c>
      <c r="L43">
        <v>1344</v>
      </c>
      <c r="M43">
        <f t="shared" si="2"/>
        <v>1236.2</v>
      </c>
      <c r="N43">
        <f t="shared" si="3"/>
        <v>3236125.654450262</v>
      </c>
      <c r="O43" s="19">
        <f t="shared" si="8"/>
        <v>86.05440139818532</v>
      </c>
      <c r="P43" s="19">
        <f t="shared" si="9"/>
        <v>6.9612038018269956E-2</v>
      </c>
    </row>
    <row r="44" spans="1:16" ht="16" x14ac:dyDescent="0.4">
      <c r="A44" s="9" t="s">
        <v>58</v>
      </c>
      <c r="B44" s="11"/>
      <c r="C44">
        <v>1063</v>
      </c>
      <c r="D44">
        <v>1074</v>
      </c>
      <c r="E44">
        <v>1079</v>
      </c>
      <c r="F44">
        <v>1066</v>
      </c>
      <c r="G44">
        <v>1122</v>
      </c>
      <c r="H44">
        <v>1344</v>
      </c>
      <c r="I44">
        <v>1103</v>
      </c>
      <c r="J44">
        <v>1141</v>
      </c>
      <c r="K44">
        <v>1124</v>
      </c>
      <c r="L44">
        <v>1139</v>
      </c>
      <c r="M44">
        <f t="shared" si="2"/>
        <v>1125.5</v>
      </c>
      <c r="N44">
        <f t="shared" si="3"/>
        <v>2946335.0785340313</v>
      </c>
      <c r="O44" s="19">
        <f t="shared" si="8"/>
        <v>78.068239380685412</v>
      </c>
      <c r="P44" s="19">
        <f t="shared" si="9"/>
        <v>6.9363162488392194E-2</v>
      </c>
    </row>
    <row r="45" spans="1:16" ht="16" x14ac:dyDescent="0.4">
      <c r="A45" s="9" t="s">
        <v>59</v>
      </c>
      <c r="B45" s="11"/>
      <c r="C45">
        <v>1105</v>
      </c>
      <c r="D45">
        <v>1123</v>
      </c>
      <c r="E45">
        <v>1144</v>
      </c>
      <c r="F45">
        <v>1177</v>
      </c>
      <c r="G45">
        <v>1105</v>
      </c>
      <c r="H45">
        <v>990</v>
      </c>
      <c r="I45">
        <v>1323</v>
      </c>
      <c r="K45">
        <v>1438</v>
      </c>
      <c r="L45">
        <v>1265</v>
      </c>
      <c r="M45">
        <f t="shared" si="2"/>
        <v>1185.5555555555557</v>
      </c>
      <c r="N45">
        <f t="shared" si="3"/>
        <v>3103548.5747527634</v>
      </c>
      <c r="O45" s="19">
        <f t="shared" si="8"/>
        <v>127.30724960688271</v>
      </c>
      <c r="P45" s="19">
        <f t="shared" si="9"/>
        <v>0.10738193500111942</v>
      </c>
    </row>
    <row r="46" spans="1:16" ht="16" x14ac:dyDescent="0.4">
      <c r="A46" s="17" t="s">
        <v>60</v>
      </c>
      <c r="B46" s="11"/>
      <c r="O46" s="19"/>
      <c r="P46" s="19"/>
    </row>
    <row r="47" spans="1:16" ht="16" x14ac:dyDescent="0.4">
      <c r="A47" s="10" t="s">
        <v>61</v>
      </c>
      <c r="B47" s="11"/>
      <c r="C47">
        <v>1332</v>
      </c>
      <c r="D47">
        <v>1328</v>
      </c>
      <c r="E47">
        <v>1350</v>
      </c>
      <c r="F47">
        <v>1335</v>
      </c>
      <c r="G47">
        <v>1295</v>
      </c>
      <c r="H47">
        <v>1327</v>
      </c>
      <c r="I47">
        <v>1322</v>
      </c>
      <c r="J47">
        <v>1330</v>
      </c>
      <c r="K47">
        <v>1288</v>
      </c>
      <c r="L47">
        <v>1369</v>
      </c>
      <c r="M47">
        <f t="shared" si="2"/>
        <v>1327.6</v>
      </c>
      <c r="N47">
        <f t="shared" si="3"/>
        <v>3475392.6701570675</v>
      </c>
      <c r="O47" s="19">
        <f t="shared" ref="O47:O56" si="10">_xlfn.STDEV.P(C47:L47)</f>
        <v>22.267465055546847</v>
      </c>
      <c r="P47" s="19">
        <f t="shared" ref="P47:P56" si="11">O47/M47</f>
        <v>1.6772721494084701E-2</v>
      </c>
    </row>
    <row r="48" spans="1:16" ht="16" x14ac:dyDescent="0.4">
      <c r="A48" s="10" t="s">
        <v>62</v>
      </c>
      <c r="B48" s="11"/>
      <c r="C48">
        <v>1315</v>
      </c>
      <c r="D48">
        <v>1317</v>
      </c>
      <c r="E48">
        <v>1273</v>
      </c>
      <c r="F48">
        <v>1296</v>
      </c>
      <c r="G48">
        <v>1294</v>
      </c>
      <c r="H48">
        <v>1287</v>
      </c>
      <c r="I48">
        <v>1295</v>
      </c>
      <c r="J48">
        <v>1286</v>
      </c>
      <c r="K48">
        <v>1255</v>
      </c>
      <c r="L48">
        <v>1255</v>
      </c>
      <c r="M48">
        <f t="shared" si="2"/>
        <v>1287.3</v>
      </c>
      <c r="N48">
        <f t="shared" si="3"/>
        <v>3369895.2879581149</v>
      </c>
      <c r="O48" s="19">
        <f t="shared" si="10"/>
        <v>20.302955449884628</v>
      </c>
      <c r="P48" s="19">
        <f t="shared" si="11"/>
        <v>1.5771735764689373E-2</v>
      </c>
    </row>
    <row r="49" spans="1:16" ht="16" x14ac:dyDescent="0.4">
      <c r="A49" s="10" t="s">
        <v>63</v>
      </c>
      <c r="B49" s="11"/>
      <c r="C49">
        <v>1243</v>
      </c>
      <c r="D49">
        <v>1262</v>
      </c>
      <c r="E49">
        <v>1251</v>
      </c>
      <c r="F49">
        <v>1207</v>
      </c>
      <c r="G49">
        <v>1228</v>
      </c>
      <c r="H49">
        <v>1246</v>
      </c>
      <c r="I49">
        <v>1215</v>
      </c>
      <c r="J49">
        <v>1258</v>
      </c>
      <c r="K49">
        <v>1206</v>
      </c>
      <c r="L49">
        <v>1229</v>
      </c>
      <c r="M49">
        <f t="shared" si="2"/>
        <v>1234.5</v>
      </c>
      <c r="N49">
        <f t="shared" si="3"/>
        <v>3231675.3926701569</v>
      </c>
      <c r="O49" s="19">
        <f t="shared" si="10"/>
        <v>19.510253714393361</v>
      </c>
      <c r="P49" s="19">
        <f t="shared" si="11"/>
        <v>1.5804174738269228E-2</v>
      </c>
    </row>
    <row r="50" spans="1:16" ht="16" x14ac:dyDescent="0.4">
      <c r="A50" s="10" t="s">
        <v>64</v>
      </c>
      <c r="B50" s="11"/>
      <c r="C50">
        <v>1218</v>
      </c>
      <c r="D50">
        <v>1208</v>
      </c>
      <c r="E50">
        <v>1185</v>
      </c>
      <c r="F50">
        <v>1234</v>
      </c>
      <c r="G50">
        <v>1217</v>
      </c>
      <c r="H50">
        <v>1222</v>
      </c>
      <c r="I50">
        <v>1192</v>
      </c>
      <c r="J50">
        <v>1215</v>
      </c>
      <c r="K50">
        <v>1197</v>
      </c>
      <c r="L50">
        <v>1170</v>
      </c>
      <c r="M50">
        <f t="shared" si="2"/>
        <v>1205.8</v>
      </c>
      <c r="N50">
        <f t="shared" si="3"/>
        <v>3156544.5026178006</v>
      </c>
      <c r="O50" s="19">
        <f t="shared" si="10"/>
        <v>18.448848202530151</v>
      </c>
      <c r="P50" s="19">
        <f t="shared" si="11"/>
        <v>1.5300089735055691E-2</v>
      </c>
    </row>
    <row r="51" spans="1:16" ht="16" x14ac:dyDescent="0.4">
      <c r="A51" s="10" t="s">
        <v>65</v>
      </c>
      <c r="B51" s="11"/>
      <c r="C51">
        <v>1557</v>
      </c>
      <c r="D51">
        <v>1626</v>
      </c>
      <c r="E51">
        <v>1649</v>
      </c>
      <c r="F51">
        <v>1718</v>
      </c>
      <c r="G51">
        <v>1690</v>
      </c>
      <c r="H51">
        <v>1702</v>
      </c>
      <c r="I51">
        <v>1381</v>
      </c>
      <c r="J51">
        <v>1673</v>
      </c>
      <c r="K51">
        <v>1709</v>
      </c>
      <c r="L51">
        <v>1661</v>
      </c>
      <c r="M51">
        <f t="shared" si="2"/>
        <v>1636.6</v>
      </c>
      <c r="N51">
        <f t="shared" si="3"/>
        <v>4284293.1937172767</v>
      </c>
      <c r="O51" s="19">
        <f t="shared" si="10"/>
        <v>96.358912405651395</v>
      </c>
      <c r="P51" s="19">
        <f t="shared" si="11"/>
        <v>5.8877497498259442E-2</v>
      </c>
    </row>
    <row r="52" spans="1:16" ht="16" x14ac:dyDescent="0.4">
      <c r="A52" s="10" t="s">
        <v>66</v>
      </c>
      <c r="B52" s="11"/>
      <c r="C52">
        <v>1545</v>
      </c>
      <c r="D52">
        <v>1391</v>
      </c>
      <c r="E52">
        <v>1454</v>
      </c>
      <c r="F52">
        <v>1477</v>
      </c>
      <c r="G52">
        <v>1487</v>
      </c>
      <c r="H52">
        <v>1445</v>
      </c>
      <c r="I52">
        <v>1481</v>
      </c>
      <c r="J52">
        <v>1402</v>
      </c>
      <c r="K52">
        <v>1525</v>
      </c>
      <c r="L52">
        <v>1538</v>
      </c>
      <c r="M52">
        <f t="shared" si="2"/>
        <v>1474.5</v>
      </c>
      <c r="N52">
        <f t="shared" si="3"/>
        <v>3859947.6439790577</v>
      </c>
      <c r="O52" s="19">
        <f t="shared" si="10"/>
        <v>50.275739676309094</v>
      </c>
      <c r="P52" s="19">
        <f t="shared" si="11"/>
        <v>3.409680547732051E-2</v>
      </c>
    </row>
    <row r="53" spans="1:16" ht="16" x14ac:dyDescent="0.4">
      <c r="A53" s="10" t="s">
        <v>67</v>
      </c>
      <c r="B53" s="11"/>
      <c r="C53">
        <v>1478</v>
      </c>
      <c r="D53">
        <v>1585</v>
      </c>
      <c r="E53">
        <v>1520</v>
      </c>
      <c r="F53">
        <v>1528</v>
      </c>
      <c r="G53">
        <v>1523</v>
      </c>
      <c r="H53">
        <v>1557</v>
      </c>
      <c r="I53">
        <v>1622</v>
      </c>
      <c r="J53">
        <v>1535</v>
      </c>
      <c r="K53">
        <v>1600</v>
      </c>
      <c r="L53">
        <v>1569</v>
      </c>
      <c r="M53">
        <f t="shared" si="2"/>
        <v>1551.7</v>
      </c>
      <c r="N53">
        <f t="shared" si="3"/>
        <v>4062041.8848167537</v>
      </c>
      <c r="O53" s="19">
        <f t="shared" si="10"/>
        <v>41.002560895631873</v>
      </c>
      <c r="P53" s="19">
        <f t="shared" si="11"/>
        <v>2.6424283621596874E-2</v>
      </c>
    </row>
    <row r="54" spans="1:16" ht="16" x14ac:dyDescent="0.4">
      <c r="A54" s="10" t="s">
        <v>68</v>
      </c>
      <c r="B54" s="11"/>
      <c r="C54">
        <v>1584</v>
      </c>
      <c r="D54">
        <v>1662</v>
      </c>
      <c r="E54">
        <v>1629</v>
      </c>
      <c r="F54">
        <v>1607</v>
      </c>
      <c r="G54">
        <v>1565</v>
      </c>
      <c r="H54">
        <v>1421</v>
      </c>
      <c r="I54">
        <v>1685</v>
      </c>
      <c r="J54">
        <v>1630</v>
      </c>
      <c r="K54">
        <v>1473</v>
      </c>
      <c r="L54">
        <v>1592</v>
      </c>
      <c r="M54">
        <f t="shared" si="2"/>
        <v>1584.8</v>
      </c>
      <c r="N54">
        <f t="shared" si="3"/>
        <v>4148691.0994764394</v>
      </c>
      <c r="O54" s="19">
        <f t="shared" si="10"/>
        <v>77.629633517104793</v>
      </c>
      <c r="P54" s="19">
        <f t="shared" si="11"/>
        <v>4.8983867691257441E-2</v>
      </c>
    </row>
    <row r="55" spans="1:16" ht="16" x14ac:dyDescent="0.4">
      <c r="A55" s="10" t="s">
        <v>69</v>
      </c>
      <c r="B55" s="11"/>
      <c r="C55">
        <v>1143</v>
      </c>
      <c r="D55">
        <v>1168</v>
      </c>
      <c r="E55">
        <v>1096</v>
      </c>
      <c r="F55">
        <v>1159</v>
      </c>
      <c r="G55">
        <v>1186</v>
      </c>
      <c r="H55">
        <v>1116</v>
      </c>
      <c r="I55">
        <v>1108</v>
      </c>
      <c r="J55">
        <v>1190</v>
      </c>
      <c r="K55">
        <v>1276</v>
      </c>
      <c r="L55">
        <v>1216</v>
      </c>
      <c r="M55">
        <f t="shared" si="2"/>
        <v>1165.8</v>
      </c>
      <c r="N55">
        <f t="shared" si="3"/>
        <v>3051832.4607329839</v>
      </c>
      <c r="O55" s="19">
        <f t="shared" si="10"/>
        <v>51.886028948070404</v>
      </c>
      <c r="P55" s="19">
        <f t="shared" si="11"/>
        <v>4.4506801293592732E-2</v>
      </c>
    </row>
    <row r="56" spans="1:16" ht="16" x14ac:dyDescent="0.4">
      <c r="A56" s="10" t="s">
        <v>70</v>
      </c>
      <c r="B56" s="11"/>
      <c r="C56">
        <v>1414</v>
      </c>
      <c r="D56">
        <v>1342</v>
      </c>
      <c r="E56">
        <v>1444</v>
      </c>
      <c r="F56">
        <v>1477</v>
      </c>
      <c r="G56">
        <v>1422</v>
      </c>
      <c r="H56">
        <v>1371</v>
      </c>
      <c r="I56">
        <v>1311</v>
      </c>
      <c r="J56">
        <v>1459</v>
      </c>
      <c r="K56">
        <v>1422</v>
      </c>
      <c r="L56">
        <v>1252</v>
      </c>
      <c r="M56">
        <f t="shared" si="2"/>
        <v>1391.4</v>
      </c>
      <c r="N56">
        <f t="shared" si="3"/>
        <v>3642408.3769633509</v>
      </c>
      <c r="O56" s="19">
        <f t="shared" si="10"/>
        <v>67.675992789171545</v>
      </c>
      <c r="P56" s="19">
        <f t="shared" si="11"/>
        <v>4.8638775901373825E-2</v>
      </c>
    </row>
    <row r="57" spans="1:16" ht="16" x14ac:dyDescent="0.4">
      <c r="A57" s="17" t="s">
        <v>71</v>
      </c>
      <c r="B57" s="11"/>
      <c r="O57" s="19"/>
      <c r="P57" s="19"/>
    </row>
    <row r="58" spans="1:16" ht="16" x14ac:dyDescent="0.4">
      <c r="A58" s="10" t="s">
        <v>72</v>
      </c>
      <c r="B58" s="11"/>
      <c r="C58">
        <v>1237</v>
      </c>
      <c r="D58">
        <v>1190</v>
      </c>
      <c r="E58">
        <v>1193</v>
      </c>
      <c r="F58">
        <v>1191</v>
      </c>
      <c r="G58">
        <v>1185</v>
      </c>
      <c r="H58">
        <v>1215</v>
      </c>
      <c r="I58">
        <v>1221</v>
      </c>
      <c r="J58">
        <v>1177</v>
      </c>
      <c r="K58">
        <v>1200</v>
      </c>
      <c r="L58">
        <v>1271</v>
      </c>
      <c r="M58">
        <f t="shared" si="2"/>
        <v>1208</v>
      </c>
      <c r="N58">
        <f t="shared" si="3"/>
        <v>3162303.6649214658</v>
      </c>
      <c r="O58" s="19">
        <f t="shared" ref="O58:O67" si="12">_xlfn.STDEV.P(C58:L58)</f>
        <v>27.239676943752471</v>
      </c>
      <c r="P58" s="19">
        <f t="shared" ref="P58:P67" si="13">O58/M58</f>
        <v>2.2549401443503703E-2</v>
      </c>
    </row>
    <row r="59" spans="1:16" ht="16" x14ac:dyDescent="0.4">
      <c r="A59" s="10" t="s">
        <v>73</v>
      </c>
      <c r="B59" s="11"/>
      <c r="C59">
        <v>1190</v>
      </c>
      <c r="D59">
        <v>1153</v>
      </c>
      <c r="E59">
        <v>1159</v>
      </c>
      <c r="F59">
        <v>1129</v>
      </c>
      <c r="G59">
        <v>1177</v>
      </c>
      <c r="H59">
        <v>1112</v>
      </c>
      <c r="I59">
        <v>1193</v>
      </c>
      <c r="J59">
        <v>1155</v>
      </c>
      <c r="K59">
        <v>1170</v>
      </c>
      <c r="L59">
        <v>1110</v>
      </c>
      <c r="M59">
        <f t="shared" si="2"/>
        <v>1154.8</v>
      </c>
      <c r="N59">
        <f t="shared" si="3"/>
        <v>3023036.6492146594</v>
      </c>
      <c r="O59" s="19">
        <f t="shared" si="12"/>
        <v>28.191488077077448</v>
      </c>
      <c r="P59" s="19">
        <f t="shared" si="13"/>
        <v>2.4412442048040741E-2</v>
      </c>
    </row>
    <row r="60" spans="1:16" ht="16" x14ac:dyDescent="0.4">
      <c r="A60" s="10" t="s">
        <v>74</v>
      </c>
      <c r="B60" s="11"/>
      <c r="C60">
        <v>1139</v>
      </c>
      <c r="D60">
        <v>1150</v>
      </c>
      <c r="E60">
        <v>1174</v>
      </c>
      <c r="F60">
        <v>1176</v>
      </c>
      <c r="G60">
        <v>1149</v>
      </c>
      <c r="H60">
        <v>1140</v>
      </c>
      <c r="I60">
        <v>1176</v>
      </c>
      <c r="J60">
        <v>1186</v>
      </c>
      <c r="K60">
        <v>1136</v>
      </c>
      <c r="L60">
        <v>1171</v>
      </c>
      <c r="M60">
        <f t="shared" si="2"/>
        <v>1159.7</v>
      </c>
      <c r="N60">
        <f t="shared" si="3"/>
        <v>3035863.8743455498</v>
      </c>
      <c r="O60" s="19">
        <f t="shared" si="12"/>
        <v>17.72596964907703</v>
      </c>
      <c r="P60" s="19">
        <f t="shared" si="13"/>
        <v>1.5284961325409182E-2</v>
      </c>
    </row>
    <row r="61" spans="1:16" ht="16" x14ac:dyDescent="0.4">
      <c r="A61" s="10" t="s">
        <v>75</v>
      </c>
      <c r="B61" s="11"/>
      <c r="C61">
        <v>1146</v>
      </c>
      <c r="D61">
        <v>1167</v>
      </c>
      <c r="E61">
        <v>1144</v>
      </c>
      <c r="F61">
        <v>1129</v>
      </c>
      <c r="G61">
        <v>1146</v>
      </c>
      <c r="H61">
        <v>1119</v>
      </c>
      <c r="I61">
        <v>1147</v>
      </c>
      <c r="J61">
        <v>1166</v>
      </c>
      <c r="K61">
        <v>1149</v>
      </c>
      <c r="L61">
        <v>1132</v>
      </c>
      <c r="M61">
        <f t="shared" si="2"/>
        <v>1144.5</v>
      </c>
      <c r="N61">
        <f t="shared" si="3"/>
        <v>2996073.2984293192</v>
      </c>
      <c r="O61" s="19">
        <f t="shared" si="12"/>
        <v>14.305593311708536</v>
      </c>
      <c r="P61" s="19">
        <f t="shared" si="13"/>
        <v>1.2499426222550054E-2</v>
      </c>
    </row>
    <row r="62" spans="1:16" ht="16" x14ac:dyDescent="0.4">
      <c r="A62" s="10" t="s">
        <v>76</v>
      </c>
      <c r="B62" s="11"/>
      <c r="C62">
        <v>1338</v>
      </c>
      <c r="D62">
        <v>1437</v>
      </c>
      <c r="E62">
        <v>1331</v>
      </c>
      <c r="F62">
        <v>1401</v>
      </c>
      <c r="G62">
        <v>1432</v>
      </c>
      <c r="H62">
        <v>1451</v>
      </c>
      <c r="I62">
        <v>1281</v>
      </c>
      <c r="J62">
        <v>1387</v>
      </c>
      <c r="K62">
        <v>1441</v>
      </c>
      <c r="L62">
        <v>1400</v>
      </c>
      <c r="M62">
        <f t="shared" si="2"/>
        <v>1389.9</v>
      </c>
      <c r="N62">
        <f t="shared" si="3"/>
        <v>3638481.6753926701</v>
      </c>
      <c r="O62" s="19">
        <f t="shared" si="12"/>
        <v>53.470459133992854</v>
      </c>
      <c r="P62" s="19">
        <f t="shared" si="13"/>
        <v>3.8470723889483312E-2</v>
      </c>
    </row>
    <row r="63" spans="1:16" ht="16" x14ac:dyDescent="0.4">
      <c r="A63" s="10" t="s">
        <v>77</v>
      </c>
      <c r="B63" s="11"/>
      <c r="C63">
        <v>1191</v>
      </c>
      <c r="D63">
        <v>1188</v>
      </c>
      <c r="E63">
        <v>1100</v>
      </c>
      <c r="F63">
        <v>1277</v>
      </c>
      <c r="G63">
        <v>1227</v>
      </c>
      <c r="H63">
        <v>1234</v>
      </c>
      <c r="I63">
        <v>1242</v>
      </c>
      <c r="J63">
        <v>1255</v>
      </c>
      <c r="K63">
        <v>1283</v>
      </c>
      <c r="L63">
        <v>1239</v>
      </c>
      <c r="M63">
        <f t="shared" si="2"/>
        <v>1223.5999999999999</v>
      </c>
      <c r="N63">
        <f t="shared" si="3"/>
        <v>3203141.361256544</v>
      </c>
      <c r="O63" s="19">
        <f t="shared" si="12"/>
        <v>50.663991157428576</v>
      </c>
      <c r="P63" s="19">
        <f t="shared" si="13"/>
        <v>4.1405680906692201E-2</v>
      </c>
    </row>
    <row r="64" spans="1:16" ht="16" x14ac:dyDescent="0.4">
      <c r="A64" s="10" t="s">
        <v>78</v>
      </c>
      <c r="B64" s="11"/>
      <c r="C64">
        <v>1241</v>
      </c>
      <c r="D64">
        <v>1103</v>
      </c>
      <c r="E64">
        <v>1230</v>
      </c>
      <c r="F64">
        <v>1241</v>
      </c>
      <c r="G64">
        <v>1153</v>
      </c>
      <c r="H64">
        <v>1086</v>
      </c>
      <c r="I64">
        <v>1196</v>
      </c>
      <c r="J64">
        <v>1261</v>
      </c>
      <c r="K64">
        <v>1284</v>
      </c>
      <c r="L64">
        <v>1289</v>
      </c>
      <c r="M64">
        <f t="shared" si="2"/>
        <v>1208.4000000000001</v>
      </c>
      <c r="N64">
        <f t="shared" si="3"/>
        <v>3163350.7853403143</v>
      </c>
      <c r="O64" s="19">
        <f t="shared" si="12"/>
        <v>68.472184133412895</v>
      </c>
      <c r="P64" s="19">
        <f t="shared" si="13"/>
        <v>5.6663508882334401E-2</v>
      </c>
    </row>
    <row r="65" spans="1:16" ht="16" x14ac:dyDescent="0.4">
      <c r="A65" s="10" t="s">
        <v>79</v>
      </c>
      <c r="B65" s="11"/>
      <c r="C65">
        <v>1151</v>
      </c>
      <c r="D65">
        <v>1166</v>
      </c>
      <c r="E65">
        <v>1164</v>
      </c>
      <c r="F65">
        <v>1180</v>
      </c>
      <c r="G65">
        <v>1097</v>
      </c>
      <c r="H65">
        <v>1122</v>
      </c>
      <c r="I65">
        <v>1156</v>
      </c>
      <c r="J65">
        <v>1138</v>
      </c>
      <c r="K65">
        <v>1137</v>
      </c>
      <c r="L65">
        <v>1137</v>
      </c>
      <c r="M65">
        <f t="shared" si="2"/>
        <v>1144.8</v>
      </c>
      <c r="N65">
        <f t="shared" si="3"/>
        <v>2996858.6387434551</v>
      </c>
      <c r="O65" s="19">
        <f t="shared" si="12"/>
        <v>22.789471253190587</v>
      </c>
      <c r="P65" s="19">
        <f t="shared" si="13"/>
        <v>1.990694553912525E-2</v>
      </c>
    </row>
    <row r="66" spans="1:16" ht="16" x14ac:dyDescent="0.4">
      <c r="A66" s="10" t="s">
        <v>80</v>
      </c>
      <c r="B66" s="11"/>
      <c r="C66">
        <v>1041</v>
      </c>
      <c r="D66">
        <v>1053</v>
      </c>
      <c r="E66">
        <v>1011</v>
      </c>
      <c r="F66">
        <v>1128</v>
      </c>
      <c r="G66">
        <v>1034</v>
      </c>
      <c r="H66">
        <v>1049</v>
      </c>
      <c r="I66">
        <v>1010</v>
      </c>
      <c r="J66">
        <v>1086</v>
      </c>
      <c r="K66">
        <v>1073</v>
      </c>
      <c r="L66">
        <v>1114</v>
      </c>
      <c r="M66">
        <f t="shared" si="2"/>
        <v>1059.9000000000001</v>
      </c>
      <c r="N66">
        <f t="shared" si="3"/>
        <v>2774607.3298429321</v>
      </c>
      <c r="O66" s="19">
        <f t="shared" si="12"/>
        <v>38.069541631072994</v>
      </c>
      <c r="P66" s="19">
        <f t="shared" si="13"/>
        <v>3.5918050411428426E-2</v>
      </c>
    </row>
    <row r="67" spans="1:16" ht="16" x14ac:dyDescent="0.4">
      <c r="A67" s="10" t="s">
        <v>81</v>
      </c>
      <c r="B67" s="11"/>
      <c r="C67">
        <f>1495</f>
        <v>1495</v>
      </c>
      <c r="D67">
        <v>1731</v>
      </c>
      <c r="E67">
        <v>1609</v>
      </c>
      <c r="F67">
        <v>1652</v>
      </c>
      <c r="G67">
        <v>1829</v>
      </c>
      <c r="H67">
        <v>1490</v>
      </c>
      <c r="I67">
        <v>2223</v>
      </c>
      <c r="J67">
        <v>1932</v>
      </c>
      <c r="K67">
        <v>1360</v>
      </c>
      <c r="L67">
        <v>1588</v>
      </c>
      <c r="M67">
        <f t="shared" si="2"/>
        <v>1690.9</v>
      </c>
      <c r="N67">
        <f t="shared" si="3"/>
        <v>4426439.7905759159</v>
      </c>
      <c r="O67" s="19">
        <f t="shared" si="12"/>
        <v>238.53320523566524</v>
      </c>
      <c r="P67" s="19">
        <f t="shared" si="13"/>
        <v>0.14106878303605488</v>
      </c>
    </row>
    <row r="68" spans="1:16" ht="16" x14ac:dyDescent="0.4">
      <c r="A68" s="18" t="s">
        <v>82</v>
      </c>
      <c r="B68" s="9"/>
      <c r="O68" s="19"/>
      <c r="P68" s="19"/>
    </row>
    <row r="69" spans="1:16" ht="16" x14ac:dyDescent="0.4">
      <c r="A69" s="10" t="s">
        <v>83</v>
      </c>
      <c r="B69" s="11"/>
      <c r="C69">
        <v>1281</v>
      </c>
      <c r="D69">
        <v>1310</v>
      </c>
      <c r="E69">
        <v>1269</v>
      </c>
      <c r="F69">
        <v>1264</v>
      </c>
      <c r="G69">
        <v>1239</v>
      </c>
      <c r="H69">
        <v>1202</v>
      </c>
      <c r="I69">
        <v>1233</v>
      </c>
      <c r="J69">
        <v>1218</v>
      </c>
      <c r="K69">
        <v>1252</v>
      </c>
      <c r="L69">
        <v>1000</v>
      </c>
      <c r="M69">
        <f t="shared" ref="M69:M89" si="14">AVERAGE(C69:L69)</f>
        <v>1226.8</v>
      </c>
      <c r="N69">
        <f t="shared" ref="N69:N89" si="15">(M69/0.000382)*1</f>
        <v>3211518.3246073294</v>
      </c>
      <c r="O69" s="19">
        <f t="shared" ref="O69:O78" si="16">_xlfn.STDEV.P(C69:L69)</f>
        <v>81.226596629429196</v>
      </c>
      <c r="P69" s="19">
        <f t="shared" ref="P69:P78" si="17">O69/M69</f>
        <v>6.6210137454702639E-2</v>
      </c>
    </row>
    <row r="70" spans="1:16" ht="16" x14ac:dyDescent="0.4">
      <c r="A70" s="10" t="s">
        <v>84</v>
      </c>
      <c r="B70" s="11"/>
      <c r="C70">
        <v>1368</v>
      </c>
      <c r="D70">
        <v>1239</v>
      </c>
      <c r="E70">
        <v>1334</v>
      </c>
      <c r="F70">
        <v>1232</v>
      </c>
      <c r="G70">
        <v>1270</v>
      </c>
      <c r="H70">
        <v>1245</v>
      </c>
      <c r="I70">
        <v>1211</v>
      </c>
      <c r="J70">
        <v>1254</v>
      </c>
      <c r="K70">
        <v>1166</v>
      </c>
      <c r="L70">
        <v>1223</v>
      </c>
      <c r="M70">
        <f t="shared" si="14"/>
        <v>1254.2</v>
      </c>
      <c r="N70">
        <f t="shared" si="15"/>
        <v>3283246.0732984291</v>
      </c>
      <c r="O70" s="19">
        <f t="shared" si="16"/>
        <v>55.673692171437672</v>
      </c>
      <c r="P70" s="19">
        <f t="shared" si="17"/>
        <v>4.4389803995724501E-2</v>
      </c>
    </row>
    <row r="71" spans="1:16" ht="16" x14ac:dyDescent="0.4">
      <c r="A71" s="10" t="s">
        <v>85</v>
      </c>
      <c r="B71" s="11"/>
      <c r="C71">
        <v>1329</v>
      </c>
      <c r="D71">
        <v>1279</v>
      </c>
      <c r="E71">
        <v>1271</v>
      </c>
      <c r="F71">
        <v>1273</v>
      </c>
      <c r="G71">
        <v>1267</v>
      </c>
      <c r="H71">
        <v>1261</v>
      </c>
      <c r="I71">
        <v>1274</v>
      </c>
      <c r="J71">
        <v>1280</v>
      </c>
      <c r="K71">
        <v>1278</v>
      </c>
      <c r="L71">
        <v>1275</v>
      </c>
      <c r="M71">
        <f t="shared" si="14"/>
        <v>1278.7</v>
      </c>
      <c r="N71">
        <f t="shared" si="15"/>
        <v>3347382.1989528798</v>
      </c>
      <c r="O71" s="19">
        <f t="shared" si="16"/>
        <v>17.63547561025787</v>
      </c>
      <c r="P71" s="19">
        <f t="shared" si="17"/>
        <v>1.3791722538717346E-2</v>
      </c>
    </row>
    <row r="72" spans="1:16" ht="16" x14ac:dyDescent="0.4">
      <c r="A72" s="10" t="s">
        <v>86</v>
      </c>
      <c r="B72" s="11"/>
      <c r="C72">
        <v>1311</v>
      </c>
      <c r="D72">
        <v>1237</v>
      </c>
      <c r="E72">
        <v>1308</v>
      </c>
      <c r="F72">
        <v>1259</v>
      </c>
      <c r="G72">
        <v>1308</v>
      </c>
      <c r="H72">
        <v>1302</v>
      </c>
      <c r="I72">
        <v>1305</v>
      </c>
      <c r="J72">
        <v>1299</v>
      </c>
      <c r="K72">
        <v>1316</v>
      </c>
      <c r="L72">
        <v>1000</v>
      </c>
      <c r="M72">
        <f t="shared" si="14"/>
        <v>1264.5</v>
      </c>
      <c r="N72">
        <f t="shared" si="15"/>
        <v>3310209.4240837693</v>
      </c>
      <c r="O72" s="19">
        <f t="shared" si="16"/>
        <v>91.42346525919919</v>
      </c>
      <c r="P72" s="19">
        <f t="shared" si="17"/>
        <v>7.2300091150019133E-2</v>
      </c>
    </row>
    <row r="73" spans="1:16" ht="16" x14ac:dyDescent="0.4">
      <c r="A73" s="10" t="s">
        <v>86</v>
      </c>
      <c r="B73" s="11"/>
      <c r="C73">
        <v>1290</v>
      </c>
      <c r="D73">
        <v>1342</v>
      </c>
      <c r="E73">
        <v>1278</v>
      </c>
      <c r="F73">
        <v>1209</v>
      </c>
      <c r="G73">
        <v>1241</v>
      </c>
      <c r="H73">
        <v>1243</v>
      </c>
      <c r="I73">
        <v>1309</v>
      </c>
      <c r="J73">
        <v>1346</v>
      </c>
      <c r="K73">
        <v>1358</v>
      </c>
      <c r="L73">
        <v>1370</v>
      </c>
      <c r="M73">
        <f t="shared" si="14"/>
        <v>1298.5999999999999</v>
      </c>
      <c r="N73">
        <f t="shared" si="15"/>
        <v>3399476.4397905758</v>
      </c>
      <c r="O73" s="19">
        <f t="shared" si="16"/>
        <v>52.726084626112723</v>
      </c>
      <c r="P73" s="19">
        <f t="shared" si="17"/>
        <v>4.0602252137773548E-2</v>
      </c>
    </row>
    <row r="74" spans="1:16" ht="16" x14ac:dyDescent="0.4">
      <c r="A74" s="10" t="s">
        <v>87</v>
      </c>
      <c r="B74" s="11"/>
      <c r="C74">
        <v>1269</v>
      </c>
      <c r="D74">
        <v>1205</v>
      </c>
      <c r="E74">
        <v>1227</v>
      </c>
      <c r="F74">
        <v>1211</v>
      </c>
      <c r="G74">
        <v>1260</v>
      </c>
      <c r="H74">
        <v>1199</v>
      </c>
      <c r="I74">
        <v>1216</v>
      </c>
      <c r="J74">
        <v>1221</v>
      </c>
      <c r="K74">
        <v>1100</v>
      </c>
      <c r="L74">
        <v>1226</v>
      </c>
      <c r="M74">
        <f t="shared" si="14"/>
        <v>1213.4000000000001</v>
      </c>
      <c r="N74">
        <f t="shared" si="15"/>
        <v>3176439.7905759164</v>
      </c>
      <c r="O74" s="19">
        <f t="shared" si="16"/>
        <v>43.375569160530908</v>
      </c>
      <c r="P74" s="19">
        <f t="shared" si="17"/>
        <v>3.5747131333880751E-2</v>
      </c>
    </row>
    <row r="75" spans="1:16" ht="16" x14ac:dyDescent="0.4">
      <c r="A75" s="10" t="s">
        <v>88</v>
      </c>
      <c r="B75" s="11"/>
      <c r="C75">
        <v>1357</v>
      </c>
      <c r="D75">
        <v>1395</v>
      </c>
      <c r="E75">
        <v>1454</v>
      </c>
      <c r="F75">
        <v>1276</v>
      </c>
      <c r="G75">
        <v>1504</v>
      </c>
      <c r="H75">
        <v>1457</v>
      </c>
      <c r="I75">
        <v>1251</v>
      </c>
      <c r="J75">
        <v>1365</v>
      </c>
      <c r="K75">
        <v>1447</v>
      </c>
      <c r="L75">
        <v>1385</v>
      </c>
      <c r="M75">
        <f t="shared" si="14"/>
        <v>1389.1</v>
      </c>
      <c r="N75">
        <f t="shared" si="15"/>
        <v>3636387.4345549736</v>
      </c>
      <c r="O75" s="19">
        <f t="shared" si="16"/>
        <v>76.748224735168961</v>
      </c>
      <c r="P75" s="19">
        <f t="shared" si="17"/>
        <v>5.5250323760110118E-2</v>
      </c>
    </row>
    <row r="76" spans="1:16" ht="16" x14ac:dyDescent="0.4">
      <c r="A76" s="10" t="s">
        <v>89</v>
      </c>
      <c r="B76" s="11"/>
      <c r="C76">
        <v>1336</v>
      </c>
      <c r="D76">
        <v>1474</v>
      </c>
      <c r="E76">
        <v>1611</v>
      </c>
      <c r="F76">
        <v>1406</v>
      </c>
      <c r="G76">
        <v>1456</v>
      </c>
      <c r="H76">
        <v>1385</v>
      </c>
      <c r="I76">
        <v>1545</v>
      </c>
      <c r="J76">
        <v>1558</v>
      </c>
      <c r="K76">
        <v>1524</v>
      </c>
      <c r="L76">
        <v>1479</v>
      </c>
      <c r="M76">
        <f t="shared" si="14"/>
        <v>1477.4</v>
      </c>
      <c r="N76">
        <f t="shared" si="15"/>
        <v>3867539.2670157067</v>
      </c>
      <c r="O76" s="19">
        <f t="shared" si="16"/>
        <v>80.739333660861973</v>
      </c>
      <c r="P76" s="19">
        <f t="shared" si="17"/>
        <v>5.4649609896346263E-2</v>
      </c>
    </row>
    <row r="77" spans="1:16" ht="16" x14ac:dyDescent="0.4">
      <c r="A77" s="10" t="s">
        <v>90</v>
      </c>
      <c r="B77" s="11"/>
      <c r="C77">
        <v>1488</v>
      </c>
      <c r="D77">
        <v>1570</v>
      </c>
      <c r="E77">
        <v>1613</v>
      </c>
      <c r="F77">
        <v>1762</v>
      </c>
      <c r="G77">
        <v>1661</v>
      </c>
      <c r="H77">
        <v>1489</v>
      </c>
      <c r="I77">
        <v>1629</v>
      </c>
      <c r="J77">
        <v>1513</v>
      </c>
      <c r="K77">
        <v>1742</v>
      </c>
      <c r="L77">
        <v>1497</v>
      </c>
      <c r="M77">
        <f t="shared" si="14"/>
        <v>1596.4</v>
      </c>
      <c r="N77">
        <f t="shared" si="15"/>
        <v>4179057.5916230367</v>
      </c>
      <c r="O77" s="19">
        <f t="shared" si="16"/>
        <v>97.443522103832024</v>
      </c>
      <c r="P77" s="19">
        <f t="shared" si="17"/>
        <v>6.1039540280526196E-2</v>
      </c>
    </row>
    <row r="78" spans="1:16" ht="16" x14ac:dyDescent="0.4">
      <c r="A78" s="10" t="s">
        <v>91</v>
      </c>
      <c r="B78" s="11"/>
      <c r="C78">
        <v>1551</v>
      </c>
      <c r="D78">
        <v>1693</v>
      </c>
      <c r="E78">
        <v>1561</v>
      </c>
      <c r="F78">
        <v>1436</v>
      </c>
      <c r="G78">
        <v>1602</v>
      </c>
      <c r="H78">
        <v>1675</v>
      </c>
      <c r="I78">
        <v>1840</v>
      </c>
      <c r="J78">
        <v>1580</v>
      </c>
      <c r="K78">
        <v>1504</v>
      </c>
      <c r="L78">
        <v>1623</v>
      </c>
      <c r="M78">
        <f t="shared" si="14"/>
        <v>1606.5</v>
      </c>
      <c r="N78">
        <f t="shared" si="15"/>
        <v>4205497.3821989531</v>
      </c>
      <c r="O78" s="19">
        <f t="shared" si="16"/>
        <v>106.02759074882349</v>
      </c>
      <c r="P78" s="19">
        <f t="shared" si="17"/>
        <v>6.5999122781713965E-2</v>
      </c>
    </row>
    <row r="79" spans="1:16" ht="16" x14ac:dyDescent="0.4">
      <c r="A79" s="18" t="s">
        <v>92</v>
      </c>
      <c r="B79" s="11"/>
      <c r="O79" s="19"/>
      <c r="P79" s="19"/>
    </row>
    <row r="80" spans="1:16" ht="16" x14ac:dyDescent="0.4">
      <c r="A80" s="10" t="s">
        <v>93</v>
      </c>
      <c r="B80" s="11"/>
      <c r="C80">
        <v>1289</v>
      </c>
      <c r="D80">
        <v>1309</v>
      </c>
      <c r="E80">
        <v>1303</v>
      </c>
      <c r="F80">
        <v>1345</v>
      </c>
      <c r="G80">
        <v>1397</v>
      </c>
      <c r="H80">
        <v>1353</v>
      </c>
      <c r="I80">
        <v>1338</v>
      </c>
      <c r="J80">
        <v>1291</v>
      </c>
      <c r="K80">
        <v>1303</v>
      </c>
      <c r="L80">
        <v>1349</v>
      </c>
      <c r="M80">
        <f t="shared" si="14"/>
        <v>1327.7</v>
      </c>
      <c r="N80">
        <f t="shared" si="15"/>
        <v>3475654.4502617801</v>
      </c>
      <c r="O80" s="19">
        <f t="shared" ref="O80:O89" si="18">_xlfn.STDEV.P(C80:L80)</f>
        <v>32.735454785293577</v>
      </c>
      <c r="P80" s="19">
        <f t="shared" ref="P80:P89" si="19">O80/M80</f>
        <v>2.4655761682076956E-2</v>
      </c>
    </row>
    <row r="81" spans="1:16" ht="16" x14ac:dyDescent="0.4">
      <c r="A81" s="10" t="s">
        <v>94</v>
      </c>
      <c r="B81" s="11"/>
      <c r="C81">
        <v>1270</v>
      </c>
      <c r="D81">
        <v>1275</v>
      </c>
      <c r="E81">
        <v>1278</v>
      </c>
      <c r="F81">
        <v>1277</v>
      </c>
      <c r="G81">
        <v>1276</v>
      </c>
      <c r="H81">
        <v>1300</v>
      </c>
      <c r="I81">
        <v>1284</v>
      </c>
      <c r="J81">
        <v>1257</v>
      </c>
      <c r="K81">
        <v>1298</v>
      </c>
      <c r="L81">
        <v>1270</v>
      </c>
      <c r="M81">
        <f t="shared" si="14"/>
        <v>1278.5</v>
      </c>
      <c r="N81">
        <f t="shared" si="15"/>
        <v>3346858.6387434555</v>
      </c>
      <c r="O81" s="19">
        <f t="shared" si="18"/>
        <v>12.2494897852931</v>
      </c>
      <c r="P81" s="19">
        <f t="shared" si="19"/>
        <v>9.5811417953016037E-3</v>
      </c>
    </row>
    <row r="82" spans="1:16" ht="16" x14ac:dyDescent="0.4">
      <c r="A82" s="10" t="s">
        <v>95</v>
      </c>
      <c r="B82" s="11"/>
      <c r="C82">
        <v>1312</v>
      </c>
      <c r="D82">
        <v>1318</v>
      </c>
      <c r="E82">
        <v>1310</v>
      </c>
      <c r="F82">
        <v>1327</v>
      </c>
      <c r="G82">
        <v>1324</v>
      </c>
      <c r="H82">
        <v>1321</v>
      </c>
      <c r="I82">
        <v>1324</v>
      </c>
      <c r="J82">
        <v>1352</v>
      </c>
      <c r="K82">
        <v>1324</v>
      </c>
      <c r="L82">
        <v>1346</v>
      </c>
      <c r="M82">
        <f t="shared" si="14"/>
        <v>1325.8</v>
      </c>
      <c r="N82">
        <f t="shared" si="15"/>
        <v>3470680.6282722512</v>
      </c>
      <c r="O82" s="19">
        <f t="shared" si="18"/>
        <v>12.765578717786358</v>
      </c>
      <c r="P82" s="19">
        <f t="shared" si="19"/>
        <v>9.6285855466785031E-3</v>
      </c>
    </row>
    <row r="83" spans="1:16" ht="16" x14ac:dyDescent="0.4">
      <c r="A83" s="10" t="s">
        <v>96</v>
      </c>
      <c r="B83" s="11"/>
      <c r="C83">
        <v>1285</v>
      </c>
      <c r="D83">
        <v>1280</v>
      </c>
      <c r="E83">
        <v>1298</v>
      </c>
      <c r="F83">
        <v>1282</v>
      </c>
      <c r="G83">
        <v>1292</v>
      </c>
      <c r="H83">
        <v>1295</v>
      </c>
      <c r="I83">
        <v>1277</v>
      </c>
      <c r="J83">
        <v>1279</v>
      </c>
      <c r="K83">
        <v>1280</v>
      </c>
      <c r="L83">
        <v>1279</v>
      </c>
      <c r="M83">
        <f t="shared" si="14"/>
        <v>1284.7</v>
      </c>
      <c r="N83">
        <f t="shared" si="15"/>
        <v>3363089.0052356021</v>
      </c>
      <c r="O83" s="19">
        <f t="shared" si="18"/>
        <v>7.156116265125938</v>
      </c>
      <c r="P83" s="19">
        <f t="shared" si="19"/>
        <v>5.5702625244227737E-3</v>
      </c>
    </row>
    <row r="84" spans="1:16" ht="16" x14ac:dyDescent="0.4">
      <c r="A84" s="10" t="s">
        <v>97</v>
      </c>
      <c r="B84" s="11"/>
      <c r="C84">
        <v>1221</v>
      </c>
      <c r="D84">
        <v>1317</v>
      </c>
      <c r="E84">
        <v>1435</v>
      </c>
      <c r="F84">
        <v>1438</v>
      </c>
      <c r="G84">
        <v>1293</v>
      </c>
      <c r="H84">
        <v>1274</v>
      </c>
      <c r="I84">
        <v>1401</v>
      </c>
      <c r="J84">
        <v>1423</v>
      </c>
      <c r="K84">
        <v>1288</v>
      </c>
      <c r="L84">
        <v>1404</v>
      </c>
      <c r="M84">
        <f t="shared" si="14"/>
        <v>1349.4</v>
      </c>
      <c r="N84">
        <f t="shared" si="15"/>
        <v>3532460.7329842933</v>
      </c>
      <c r="O84" s="19">
        <f t="shared" si="18"/>
        <v>75.106857210244115</v>
      </c>
      <c r="P84" s="19">
        <f t="shared" si="19"/>
        <v>5.5659446576437017E-2</v>
      </c>
    </row>
    <row r="85" spans="1:16" ht="16" x14ac:dyDescent="0.4">
      <c r="A85" s="10" t="s">
        <v>98</v>
      </c>
      <c r="B85" s="11"/>
      <c r="C85">
        <v>1659</v>
      </c>
      <c r="D85">
        <v>1830</v>
      </c>
      <c r="E85">
        <v>1600</v>
      </c>
      <c r="F85">
        <v>1709</v>
      </c>
      <c r="G85">
        <v>1699</v>
      </c>
      <c r="H85">
        <v>1461</v>
      </c>
      <c r="I85">
        <v>1585</v>
      </c>
      <c r="J85">
        <v>1736</v>
      </c>
      <c r="K85">
        <v>1650</v>
      </c>
      <c r="L85">
        <v>1799</v>
      </c>
      <c r="M85">
        <f t="shared" si="14"/>
        <v>1672.8</v>
      </c>
      <c r="N85">
        <f t="shared" si="15"/>
        <v>4379057.5916230362</v>
      </c>
      <c r="O85" s="19">
        <f t="shared" si="18"/>
        <v>102.57075606623947</v>
      </c>
      <c r="P85" s="19">
        <f t="shared" si="19"/>
        <v>6.1316807787087202E-2</v>
      </c>
    </row>
    <row r="86" spans="1:16" ht="16" x14ac:dyDescent="0.4">
      <c r="A86" s="10" t="s">
        <v>99</v>
      </c>
      <c r="B86" s="11"/>
      <c r="C86">
        <v>1471</v>
      </c>
      <c r="D86">
        <v>1235</v>
      </c>
      <c r="E86">
        <v>1439</v>
      </c>
      <c r="F86">
        <v>1532</v>
      </c>
      <c r="G86">
        <v>1285</v>
      </c>
      <c r="H86">
        <v>1557</v>
      </c>
      <c r="I86">
        <v>1274</v>
      </c>
      <c r="J86">
        <v>1497</v>
      </c>
      <c r="K86">
        <v>1513</v>
      </c>
      <c r="L86">
        <v>1000</v>
      </c>
      <c r="M86">
        <f t="shared" si="14"/>
        <v>1380.3</v>
      </c>
      <c r="N86">
        <f t="shared" si="15"/>
        <v>3613350.7853403138</v>
      </c>
      <c r="O86" s="19">
        <f t="shared" si="18"/>
        <v>168.3027331923044</v>
      </c>
      <c r="P86" s="19">
        <f t="shared" si="19"/>
        <v>0.12193199535775151</v>
      </c>
    </row>
    <row r="87" spans="1:16" ht="16" x14ac:dyDescent="0.4">
      <c r="A87" s="10" t="s">
        <v>100</v>
      </c>
      <c r="B87" s="11"/>
      <c r="C87">
        <v>1548</v>
      </c>
      <c r="D87">
        <v>1435</v>
      </c>
      <c r="E87">
        <v>1453</v>
      </c>
      <c r="F87">
        <v>1366</v>
      </c>
      <c r="G87">
        <v>1544</v>
      </c>
      <c r="H87">
        <v>1350</v>
      </c>
      <c r="I87">
        <v>1478</v>
      </c>
      <c r="J87">
        <v>1439</v>
      </c>
      <c r="K87">
        <v>1485</v>
      </c>
      <c r="L87">
        <v>1502</v>
      </c>
      <c r="M87">
        <f t="shared" si="14"/>
        <v>1460</v>
      </c>
      <c r="N87">
        <f t="shared" si="15"/>
        <v>3821989.5287958113</v>
      </c>
      <c r="O87" s="19">
        <f t="shared" si="18"/>
        <v>62.89992050869381</v>
      </c>
      <c r="P87" s="19">
        <f t="shared" si="19"/>
        <v>4.3082137334721785E-2</v>
      </c>
    </row>
    <row r="88" spans="1:16" ht="16" x14ac:dyDescent="0.4">
      <c r="A88" s="10" t="s">
        <v>101</v>
      </c>
      <c r="B88" s="11"/>
      <c r="C88">
        <v>1323</v>
      </c>
      <c r="D88">
        <v>1110</v>
      </c>
      <c r="E88">
        <v>1150</v>
      </c>
      <c r="F88">
        <v>1381</v>
      </c>
      <c r="G88">
        <v>1378</v>
      </c>
      <c r="H88">
        <v>1320</v>
      </c>
      <c r="I88">
        <v>1421</v>
      </c>
      <c r="J88">
        <v>1187</v>
      </c>
      <c r="K88">
        <v>1402</v>
      </c>
      <c r="L88">
        <v>1357</v>
      </c>
      <c r="M88">
        <f t="shared" si="14"/>
        <v>1302.9000000000001</v>
      </c>
      <c r="N88">
        <f t="shared" si="15"/>
        <v>3410732.984293194</v>
      </c>
      <c r="O88" s="19">
        <f t="shared" si="18"/>
        <v>106.37335192612856</v>
      </c>
      <c r="P88" s="19">
        <f t="shared" si="19"/>
        <v>8.1643527458844539E-2</v>
      </c>
    </row>
    <row r="89" spans="1:16" ht="16" x14ac:dyDescent="0.4">
      <c r="A89" s="10" t="s">
        <v>102</v>
      </c>
      <c r="B89" s="11"/>
      <c r="C89">
        <v>1181</v>
      </c>
      <c r="D89">
        <v>1372</v>
      </c>
      <c r="E89">
        <v>1388</v>
      </c>
      <c r="F89">
        <v>1328</v>
      </c>
      <c r="G89">
        <v>1316</v>
      </c>
      <c r="H89">
        <v>1144</v>
      </c>
      <c r="I89">
        <v>1172</v>
      </c>
      <c r="J89">
        <v>1397</v>
      </c>
      <c r="K89">
        <v>1148</v>
      </c>
      <c r="L89">
        <v>1300</v>
      </c>
      <c r="M89">
        <f t="shared" si="14"/>
        <v>1274.5999999999999</v>
      </c>
      <c r="N89">
        <f t="shared" si="15"/>
        <v>3336649.2146596853</v>
      </c>
      <c r="O89" s="19">
        <f t="shared" si="18"/>
        <v>97.421968775015017</v>
      </c>
      <c r="P89" s="19">
        <f t="shared" si="19"/>
        <v>7.6433366369853303E-2</v>
      </c>
    </row>
  </sheetData>
  <conditionalFormatting sqref="O67">
    <cfRule type="cellIs" dxfId="4" priority="2" operator="lessThan">
      <formula>0.15</formula>
    </cfRule>
  </conditionalFormatting>
  <conditionalFormatting sqref="P1:P89">
    <cfRule type="cellIs" dxfId="3" priority="1" operator="lessThan">
      <formula>0.15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F355-A1A0-4C15-9BB9-18558E0737A2}">
  <dimension ref="A1:W81"/>
  <sheetViews>
    <sheetView tabSelected="1" zoomScale="56" workbookViewId="0">
      <selection activeCell="P10" sqref="P10"/>
    </sheetView>
  </sheetViews>
  <sheetFormatPr defaultRowHeight="14.5" x14ac:dyDescent="0.35"/>
  <cols>
    <col min="1" max="4" width="8.7265625" customWidth="1"/>
    <col min="18" max="18" width="13.6328125" customWidth="1"/>
    <col min="19" max="19" width="12" customWidth="1"/>
    <col min="20" max="20" width="12.26953125" customWidth="1"/>
  </cols>
  <sheetData>
    <row r="1" spans="1:20" ht="80" x14ac:dyDescent="0.35">
      <c r="A1" s="1" t="s">
        <v>0</v>
      </c>
      <c r="B1" s="1" t="s">
        <v>132</v>
      </c>
      <c r="C1" s="1" t="s">
        <v>136</v>
      </c>
      <c r="D1" s="1" t="s">
        <v>139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128</v>
      </c>
      <c r="L1" s="3" t="s">
        <v>129</v>
      </c>
      <c r="M1" s="3" t="s">
        <v>130</v>
      </c>
      <c r="N1" s="3" t="s">
        <v>131</v>
      </c>
      <c r="O1" s="4" t="s">
        <v>12</v>
      </c>
      <c r="P1" s="4" t="s">
        <v>141</v>
      </c>
      <c r="Q1" s="4" t="s">
        <v>14</v>
      </c>
      <c r="R1" s="4" t="s">
        <v>142</v>
      </c>
      <c r="S1" s="4" t="s">
        <v>140</v>
      </c>
      <c r="T1" s="4" t="s">
        <v>143</v>
      </c>
    </row>
    <row r="2" spans="1:20" ht="16" x14ac:dyDescent="0.4">
      <c r="A2" s="9" t="s">
        <v>17</v>
      </c>
      <c r="B2" s="20" t="s">
        <v>133</v>
      </c>
      <c r="C2" s="20" t="s">
        <v>137</v>
      </c>
      <c r="D2" s="20"/>
      <c r="E2">
        <v>1793</v>
      </c>
      <c r="F2">
        <v>2049</v>
      </c>
      <c r="G2">
        <v>1884</v>
      </c>
      <c r="H2">
        <v>2179</v>
      </c>
      <c r="I2">
        <v>2380</v>
      </c>
      <c r="J2">
        <v>2452</v>
      </c>
      <c r="K2">
        <v>2020</v>
      </c>
      <c r="L2">
        <v>2031</v>
      </c>
      <c r="M2">
        <v>1772</v>
      </c>
      <c r="N2">
        <v>1923</v>
      </c>
      <c r="O2">
        <f>AVERAGE(E2:N2)</f>
        <v>2048.3000000000002</v>
      </c>
      <c r="P2">
        <f>(O2/0.000382)*1</f>
        <v>5362041.8848167546</v>
      </c>
      <c r="Q2" s="19">
        <f t="shared" ref="Q2:Q11" si="0">_xlfn.STDEV.P(E2:N2)</f>
        <v>218.03579981278304</v>
      </c>
      <c r="R2" s="19">
        <f t="shared" ref="R2:R11" si="1">Q2/O2</f>
        <v>0.10644720002576918</v>
      </c>
      <c r="S2">
        <f>((AVERAGE(E2:N2))/0.000382)*1</f>
        <v>5362041.8848167546</v>
      </c>
      <c r="T2">
        <f>((AVERAGE(E2,F2,G2,H2,I2,K2,L2,M2,N2))/0.000382)*1</f>
        <v>5244618.9645142518</v>
      </c>
    </row>
    <row r="3" spans="1:20" ht="16" x14ac:dyDescent="0.4">
      <c r="A3" s="12" t="s">
        <v>18</v>
      </c>
      <c r="B3" s="20" t="s">
        <v>133</v>
      </c>
      <c r="C3" s="20" t="s">
        <v>137</v>
      </c>
      <c r="D3" s="20"/>
      <c r="E3">
        <v>1851</v>
      </c>
      <c r="F3">
        <v>1947</v>
      </c>
      <c r="G3">
        <v>2134</v>
      </c>
      <c r="H3">
        <v>2173</v>
      </c>
      <c r="I3">
        <v>1973</v>
      </c>
      <c r="J3">
        <v>2026</v>
      </c>
      <c r="K3">
        <v>2065</v>
      </c>
      <c r="L3">
        <v>2035</v>
      </c>
      <c r="M3">
        <v>2174</v>
      </c>
      <c r="N3">
        <v>2071</v>
      </c>
      <c r="O3">
        <f t="shared" ref="O3:O61" si="2">AVERAGE(E3:N3)</f>
        <v>2044.9</v>
      </c>
      <c r="P3">
        <f t="shared" ref="P3:P61" si="3">(O3/0.000382)*1</f>
        <v>5353141.3612565445</v>
      </c>
      <c r="Q3" s="19">
        <f t="shared" si="0"/>
        <v>97.420172449036443</v>
      </c>
      <c r="R3" s="19">
        <f t="shared" si="1"/>
        <v>4.7640555747976154E-2</v>
      </c>
      <c r="S3">
        <f>((AVERAGE(E3:N3))/0.000382)*1</f>
        <v>5353141.3612565445</v>
      </c>
      <c r="T3">
        <f t="shared" ref="T3:T66" si="4">((AVERAGE(E3:N3))/0.000382)*1</f>
        <v>5353141.3612565445</v>
      </c>
    </row>
    <row r="4" spans="1:20" ht="16" x14ac:dyDescent="0.4">
      <c r="A4" s="12" t="s">
        <v>19</v>
      </c>
      <c r="B4" s="20" t="s">
        <v>133</v>
      </c>
      <c r="C4" s="20" t="s">
        <v>137</v>
      </c>
      <c r="D4" s="20"/>
      <c r="E4">
        <v>1829</v>
      </c>
      <c r="F4">
        <v>1537</v>
      </c>
      <c r="G4">
        <v>1991</v>
      </c>
      <c r="H4">
        <v>1678</v>
      </c>
      <c r="I4">
        <v>1844</v>
      </c>
      <c r="J4">
        <v>1739</v>
      </c>
      <c r="K4">
        <v>1822</v>
      </c>
      <c r="L4">
        <v>1661</v>
      </c>
      <c r="M4">
        <v>1492</v>
      </c>
      <c r="N4">
        <v>1467</v>
      </c>
      <c r="O4">
        <f t="shared" si="2"/>
        <v>1706</v>
      </c>
      <c r="P4">
        <f t="shared" si="3"/>
        <v>4465968.586387434</v>
      </c>
      <c r="Q4" s="19">
        <f t="shared" si="0"/>
        <v>162.55153029116644</v>
      </c>
      <c r="R4" s="19">
        <f t="shared" si="1"/>
        <v>9.5282256911586427E-2</v>
      </c>
      <c r="S4">
        <f t="shared" ref="S3:T66" si="5">((AVERAGE(E4:N4))/0.000382)*1</f>
        <v>4465968.586387434</v>
      </c>
      <c r="T4">
        <f t="shared" si="4"/>
        <v>4465968.586387434</v>
      </c>
    </row>
    <row r="5" spans="1:20" ht="16" x14ac:dyDescent="0.4">
      <c r="A5" s="12" t="s">
        <v>20</v>
      </c>
      <c r="B5" s="20" t="s">
        <v>133</v>
      </c>
      <c r="C5" s="20" t="s">
        <v>137</v>
      </c>
      <c r="D5" s="20"/>
      <c r="E5">
        <v>1822</v>
      </c>
      <c r="F5">
        <v>1718</v>
      </c>
      <c r="G5">
        <v>2021</v>
      </c>
      <c r="H5">
        <v>1955</v>
      </c>
      <c r="I5">
        <v>1691</v>
      </c>
      <c r="J5">
        <v>1735</v>
      </c>
      <c r="K5">
        <v>1714</v>
      </c>
      <c r="L5">
        <v>1665</v>
      </c>
      <c r="M5">
        <v>1764</v>
      </c>
      <c r="N5">
        <v>1728</v>
      </c>
      <c r="O5">
        <f t="shared" si="2"/>
        <v>1781.3</v>
      </c>
      <c r="P5">
        <f t="shared" si="3"/>
        <v>4663089.0052356021</v>
      </c>
      <c r="Q5" s="19">
        <f t="shared" si="0"/>
        <v>111.7068037319124</v>
      </c>
      <c r="R5" s="19">
        <f t="shared" si="1"/>
        <v>6.2710831264757433E-2</v>
      </c>
      <c r="S5">
        <f t="shared" si="5"/>
        <v>4663089.0052356021</v>
      </c>
      <c r="T5">
        <f t="shared" si="4"/>
        <v>4663089.0052356021</v>
      </c>
    </row>
    <row r="6" spans="1:20" ht="16" x14ac:dyDescent="0.4">
      <c r="A6" s="12" t="s">
        <v>21</v>
      </c>
      <c r="B6" s="20" t="s">
        <v>133</v>
      </c>
      <c r="C6" s="20" t="s">
        <v>137</v>
      </c>
      <c r="D6" s="20"/>
      <c r="E6">
        <v>2127</v>
      </c>
      <c r="F6">
        <v>1885</v>
      </c>
      <c r="G6">
        <v>2108</v>
      </c>
      <c r="H6">
        <v>2123</v>
      </c>
      <c r="I6">
        <v>2206</v>
      </c>
      <c r="J6">
        <v>2173</v>
      </c>
      <c r="K6">
        <v>2458</v>
      </c>
      <c r="L6">
        <v>2148</v>
      </c>
      <c r="M6">
        <v>2339</v>
      </c>
      <c r="N6">
        <v>2371</v>
      </c>
      <c r="O6">
        <f t="shared" si="2"/>
        <v>2193.8000000000002</v>
      </c>
      <c r="P6">
        <f t="shared" si="3"/>
        <v>5742931.9371727752</v>
      </c>
      <c r="Q6" s="19">
        <f t="shared" si="0"/>
        <v>153.99922077724941</v>
      </c>
      <c r="R6" s="19">
        <f t="shared" si="1"/>
        <v>7.0197475055724948E-2</v>
      </c>
      <c r="S6">
        <f t="shared" si="5"/>
        <v>5742931.9371727752</v>
      </c>
      <c r="T6">
        <f t="shared" si="4"/>
        <v>5742931.9371727752</v>
      </c>
    </row>
    <row r="7" spans="1:20" ht="16" x14ac:dyDescent="0.4">
      <c r="A7" s="12" t="s">
        <v>22</v>
      </c>
      <c r="B7" s="20" t="s">
        <v>133</v>
      </c>
      <c r="C7" s="20" t="s">
        <v>137</v>
      </c>
      <c r="D7" s="20"/>
      <c r="E7">
        <v>1444</v>
      </c>
      <c r="F7">
        <v>1548</v>
      </c>
      <c r="G7">
        <v>1522</v>
      </c>
      <c r="H7">
        <v>1570</v>
      </c>
      <c r="I7">
        <v>1484</v>
      </c>
      <c r="J7">
        <v>1549</v>
      </c>
      <c r="K7">
        <v>1535</v>
      </c>
      <c r="L7">
        <v>1493</v>
      </c>
      <c r="M7">
        <v>1441</v>
      </c>
      <c r="N7">
        <v>1509</v>
      </c>
      <c r="O7">
        <f t="shared" si="2"/>
        <v>1509.5</v>
      </c>
      <c r="P7">
        <f t="shared" si="3"/>
        <v>3951570.6806282722</v>
      </c>
      <c r="Q7" s="19">
        <f t="shared" si="0"/>
        <v>41.730684154468399</v>
      </c>
      <c r="R7" s="19">
        <f t="shared" si="1"/>
        <v>2.7645368767451738E-2</v>
      </c>
      <c r="S7">
        <f t="shared" si="5"/>
        <v>3951570.6806282722</v>
      </c>
      <c r="T7">
        <f t="shared" si="4"/>
        <v>3951570.6806282722</v>
      </c>
    </row>
    <row r="8" spans="1:20" ht="16" x14ac:dyDescent="0.4">
      <c r="A8" s="12" t="s">
        <v>23</v>
      </c>
      <c r="B8" s="20" t="s">
        <v>133</v>
      </c>
      <c r="C8" s="20" t="s">
        <v>137</v>
      </c>
      <c r="D8" s="20"/>
      <c r="E8">
        <v>1409</v>
      </c>
      <c r="F8">
        <v>1432</v>
      </c>
      <c r="G8">
        <v>1452</v>
      </c>
      <c r="H8">
        <v>1340</v>
      </c>
      <c r="I8">
        <v>1472</v>
      </c>
      <c r="J8">
        <v>1411</v>
      </c>
      <c r="K8">
        <v>1430</v>
      </c>
      <c r="L8">
        <v>1379</v>
      </c>
      <c r="M8">
        <v>1426</v>
      </c>
      <c r="N8">
        <v>1000</v>
      </c>
      <c r="O8">
        <f t="shared" si="2"/>
        <v>1375.1</v>
      </c>
      <c r="P8">
        <f t="shared" si="3"/>
        <v>3599738.2198952874</v>
      </c>
      <c r="Q8" s="19">
        <f t="shared" si="0"/>
        <v>129.81945154713912</v>
      </c>
      <c r="R8" s="19">
        <f t="shared" si="1"/>
        <v>9.4407280595694226E-2</v>
      </c>
      <c r="S8">
        <f t="shared" si="5"/>
        <v>3599738.2198952874</v>
      </c>
      <c r="T8">
        <f t="shared" si="4"/>
        <v>3599738.2198952874</v>
      </c>
    </row>
    <row r="9" spans="1:20" ht="16" x14ac:dyDescent="0.4">
      <c r="A9" s="12" t="s">
        <v>24</v>
      </c>
      <c r="B9" s="20" t="s">
        <v>133</v>
      </c>
      <c r="C9" s="20" t="s">
        <v>137</v>
      </c>
      <c r="D9" s="20"/>
      <c r="E9">
        <v>1282</v>
      </c>
      <c r="F9">
        <v>1334</v>
      </c>
      <c r="G9">
        <v>1224</v>
      </c>
      <c r="H9">
        <v>1268</v>
      </c>
      <c r="I9">
        <v>1316</v>
      </c>
      <c r="J9">
        <v>1282</v>
      </c>
      <c r="K9">
        <v>1297</v>
      </c>
      <c r="L9">
        <v>1346</v>
      </c>
      <c r="M9">
        <v>1299</v>
      </c>
      <c r="N9">
        <v>1271</v>
      </c>
      <c r="O9">
        <f t="shared" si="2"/>
        <v>1291.9000000000001</v>
      </c>
      <c r="P9">
        <f t="shared" si="3"/>
        <v>3381937.172774869</v>
      </c>
      <c r="Q9" s="19">
        <f t="shared" si="0"/>
        <v>33.422896343674346</v>
      </c>
      <c r="R9" s="19">
        <f t="shared" si="1"/>
        <v>2.5871117225539395E-2</v>
      </c>
      <c r="S9">
        <f t="shared" si="5"/>
        <v>3381937.172774869</v>
      </c>
      <c r="T9">
        <f t="shared" si="4"/>
        <v>3381937.172774869</v>
      </c>
    </row>
    <row r="10" spans="1:20" ht="16" x14ac:dyDescent="0.4">
      <c r="A10" s="12" t="s">
        <v>25</v>
      </c>
      <c r="B10" s="20" t="s">
        <v>133</v>
      </c>
      <c r="C10" s="20" t="s">
        <v>137</v>
      </c>
      <c r="D10" s="20"/>
      <c r="E10">
        <v>1491</v>
      </c>
      <c r="F10">
        <v>1634</v>
      </c>
      <c r="G10">
        <v>1586</v>
      </c>
      <c r="H10">
        <v>1655</v>
      </c>
      <c r="I10">
        <v>1597</v>
      </c>
      <c r="J10">
        <v>1680</v>
      </c>
      <c r="K10">
        <v>1629</v>
      </c>
      <c r="L10">
        <v>1624</v>
      </c>
      <c r="M10">
        <v>1574</v>
      </c>
      <c r="N10">
        <v>1542</v>
      </c>
      <c r="O10">
        <f t="shared" si="2"/>
        <v>1601.2</v>
      </c>
      <c r="P10">
        <f t="shared" si="3"/>
        <v>4191623.0366492146</v>
      </c>
      <c r="Q10" s="19">
        <f t="shared" si="0"/>
        <v>53.018487341681109</v>
      </c>
      <c r="R10" s="19">
        <f t="shared" si="1"/>
        <v>3.3111720797952229E-2</v>
      </c>
      <c r="S10">
        <f t="shared" si="5"/>
        <v>4191623.0366492146</v>
      </c>
      <c r="T10">
        <f t="shared" si="4"/>
        <v>4191623.0366492146</v>
      </c>
    </row>
    <row r="11" spans="1:20" ht="16" x14ac:dyDescent="0.4">
      <c r="A11" s="12" t="s">
        <v>26</v>
      </c>
      <c r="B11" s="20" t="s">
        <v>133</v>
      </c>
      <c r="C11" s="20" t="s">
        <v>137</v>
      </c>
      <c r="D11" s="20"/>
      <c r="E11">
        <v>1352</v>
      </c>
      <c r="F11">
        <v>1321</v>
      </c>
      <c r="G11">
        <v>1380</v>
      </c>
      <c r="H11">
        <v>1350</v>
      </c>
      <c r="I11">
        <v>1362</v>
      </c>
      <c r="J11">
        <v>1330</v>
      </c>
      <c r="K11">
        <v>1365</v>
      </c>
      <c r="L11">
        <v>1357</v>
      </c>
      <c r="M11">
        <v>1317</v>
      </c>
      <c r="N11">
        <v>1318</v>
      </c>
      <c r="O11">
        <f t="shared" si="2"/>
        <v>1345.2</v>
      </c>
      <c r="P11">
        <f t="shared" si="3"/>
        <v>3521465.9685863876</v>
      </c>
      <c r="Q11" s="19">
        <f t="shared" si="0"/>
        <v>21.08459153030952</v>
      </c>
      <c r="R11" s="19">
        <f t="shared" si="1"/>
        <v>1.5673945532492954E-2</v>
      </c>
      <c r="S11">
        <f t="shared" si="5"/>
        <v>3521465.9685863876</v>
      </c>
      <c r="T11">
        <f t="shared" si="4"/>
        <v>3521465.9685863876</v>
      </c>
    </row>
    <row r="12" spans="1:20" ht="16" x14ac:dyDescent="0.4">
      <c r="A12" s="14" t="s">
        <v>28</v>
      </c>
      <c r="B12" s="20" t="s">
        <v>133</v>
      </c>
      <c r="C12" s="10" t="s">
        <v>138</v>
      </c>
      <c r="D12" t="s">
        <v>27</v>
      </c>
      <c r="E12">
        <v>1265</v>
      </c>
      <c r="F12">
        <v>1157</v>
      </c>
      <c r="G12">
        <v>1253</v>
      </c>
      <c r="H12">
        <v>1240</v>
      </c>
      <c r="I12">
        <v>1212</v>
      </c>
      <c r="J12">
        <v>1245</v>
      </c>
      <c r="K12">
        <v>1236</v>
      </c>
      <c r="L12">
        <v>1185</v>
      </c>
      <c r="M12">
        <v>1176</v>
      </c>
      <c r="N12">
        <v>1224</v>
      </c>
      <c r="O12">
        <f t="shared" si="2"/>
        <v>1219.3</v>
      </c>
      <c r="P12">
        <f t="shared" si="3"/>
        <v>3191884.8167539267</v>
      </c>
      <c r="Q12" s="19">
        <f t="shared" ref="Q12:Q21" si="6">_xlfn.STDEV.P(E12:N12)</f>
        <v>34.05891953659129</v>
      </c>
      <c r="R12" s="19">
        <f t="shared" ref="R12:R21" si="7">Q12/O12</f>
        <v>2.7933174392349127E-2</v>
      </c>
      <c r="S12">
        <f t="shared" si="5"/>
        <v>3191884.8167539267</v>
      </c>
      <c r="T12">
        <f t="shared" si="4"/>
        <v>3191884.8167539267</v>
      </c>
    </row>
    <row r="13" spans="1:20" ht="16" x14ac:dyDescent="0.4">
      <c r="A13" s="14" t="s">
        <v>29</v>
      </c>
      <c r="B13" s="20" t="s">
        <v>133</v>
      </c>
      <c r="C13" s="10" t="s">
        <v>138</v>
      </c>
      <c r="D13" t="s">
        <v>27</v>
      </c>
      <c r="E13">
        <v>1221</v>
      </c>
      <c r="F13">
        <v>1210</v>
      </c>
      <c r="G13">
        <v>1168</v>
      </c>
      <c r="H13">
        <v>1205</v>
      </c>
      <c r="I13">
        <v>1191</v>
      </c>
      <c r="J13">
        <v>1196</v>
      </c>
      <c r="K13">
        <v>1191</v>
      </c>
      <c r="L13">
        <v>1187</v>
      </c>
      <c r="M13">
        <v>1171</v>
      </c>
      <c r="N13">
        <v>1183</v>
      </c>
      <c r="O13">
        <f t="shared" si="2"/>
        <v>1192.3</v>
      </c>
      <c r="P13">
        <f t="shared" si="3"/>
        <v>3121204.188481675</v>
      </c>
      <c r="Q13" s="19">
        <f t="shared" si="6"/>
        <v>15.729272074701996</v>
      </c>
      <c r="R13" s="19">
        <f t="shared" si="7"/>
        <v>1.3192377819929544E-2</v>
      </c>
      <c r="S13">
        <f t="shared" si="5"/>
        <v>3121204.188481675</v>
      </c>
      <c r="T13">
        <f t="shared" si="4"/>
        <v>3121204.188481675</v>
      </c>
    </row>
    <row r="14" spans="1:20" ht="16" x14ac:dyDescent="0.4">
      <c r="A14" s="14" t="s">
        <v>30</v>
      </c>
      <c r="B14" s="20" t="s">
        <v>133</v>
      </c>
      <c r="C14" s="10" t="s">
        <v>138</v>
      </c>
      <c r="D14" t="s">
        <v>27</v>
      </c>
      <c r="E14">
        <v>1281</v>
      </c>
      <c r="F14">
        <v>1252</v>
      </c>
      <c r="G14">
        <v>1215</v>
      </c>
      <c r="H14">
        <v>1202</v>
      </c>
      <c r="I14">
        <v>1235</v>
      </c>
      <c r="J14">
        <v>1238</v>
      </c>
      <c r="K14">
        <v>1308</v>
      </c>
      <c r="L14">
        <v>1207</v>
      </c>
      <c r="M14">
        <v>1222</v>
      </c>
      <c r="N14">
        <v>1221</v>
      </c>
      <c r="O14">
        <f t="shared" si="2"/>
        <v>1238.0999999999999</v>
      </c>
      <c r="P14">
        <f t="shared" si="3"/>
        <v>3241099.4764397903</v>
      </c>
      <c r="Q14" s="19">
        <f t="shared" si="6"/>
        <v>32.070079513465501</v>
      </c>
      <c r="R14" s="19">
        <f t="shared" si="7"/>
        <v>2.5902656904503274E-2</v>
      </c>
      <c r="S14">
        <f t="shared" si="5"/>
        <v>3241099.4764397903</v>
      </c>
      <c r="T14">
        <f t="shared" si="4"/>
        <v>3241099.4764397903</v>
      </c>
    </row>
    <row r="15" spans="1:20" ht="16" x14ac:dyDescent="0.4">
      <c r="A15" s="14" t="s">
        <v>31</v>
      </c>
      <c r="B15" s="20" t="s">
        <v>133</v>
      </c>
      <c r="C15" s="10" t="s">
        <v>138</v>
      </c>
      <c r="D15" t="s">
        <v>27</v>
      </c>
      <c r="E15">
        <v>1209</v>
      </c>
      <c r="F15">
        <v>1215</v>
      </c>
      <c r="G15">
        <v>1182</v>
      </c>
      <c r="H15">
        <v>1206</v>
      </c>
      <c r="I15">
        <v>1226</v>
      </c>
      <c r="J15">
        <v>1131</v>
      </c>
      <c r="K15">
        <v>1231</v>
      </c>
      <c r="L15">
        <v>1177</v>
      </c>
      <c r="M15">
        <v>1206</v>
      </c>
      <c r="N15">
        <v>1191</v>
      </c>
      <c r="O15">
        <f t="shared" si="2"/>
        <v>1197.4000000000001</v>
      </c>
      <c r="P15">
        <f t="shared" si="3"/>
        <v>3134554.9738219897</v>
      </c>
      <c r="Q15" s="19">
        <f t="shared" si="6"/>
        <v>27.644891028904418</v>
      </c>
      <c r="R15" s="19">
        <f t="shared" si="7"/>
        <v>2.3087431960000349E-2</v>
      </c>
      <c r="S15">
        <f t="shared" si="5"/>
        <v>3134554.9738219897</v>
      </c>
      <c r="T15">
        <f t="shared" si="4"/>
        <v>3134554.9738219897</v>
      </c>
    </row>
    <row r="16" spans="1:20" ht="16" x14ac:dyDescent="0.4">
      <c r="A16" s="14" t="s">
        <v>32</v>
      </c>
      <c r="B16" s="20" t="s">
        <v>133</v>
      </c>
      <c r="C16" s="10" t="s">
        <v>138</v>
      </c>
      <c r="D16" t="s">
        <v>27</v>
      </c>
      <c r="E16">
        <v>1066</v>
      </c>
      <c r="F16">
        <v>1097</v>
      </c>
      <c r="G16">
        <v>1065</v>
      </c>
      <c r="H16">
        <v>1099</v>
      </c>
      <c r="I16">
        <v>1091</v>
      </c>
      <c r="J16">
        <v>1078</v>
      </c>
      <c r="K16">
        <v>1107</v>
      </c>
      <c r="L16">
        <v>1109</v>
      </c>
      <c r="M16">
        <v>1141</v>
      </c>
      <c r="N16">
        <v>1077</v>
      </c>
      <c r="O16">
        <f t="shared" si="2"/>
        <v>1093</v>
      </c>
      <c r="P16">
        <f t="shared" si="3"/>
        <v>2861256.5445026178</v>
      </c>
      <c r="Q16" s="19">
        <f t="shared" si="6"/>
        <v>21.922591087734133</v>
      </c>
      <c r="R16" s="19">
        <f t="shared" si="7"/>
        <v>2.0057265405063252E-2</v>
      </c>
      <c r="S16">
        <f t="shared" si="5"/>
        <v>2861256.5445026178</v>
      </c>
      <c r="T16">
        <f t="shared" si="4"/>
        <v>2861256.5445026178</v>
      </c>
    </row>
    <row r="17" spans="1:20" ht="16" x14ac:dyDescent="0.4">
      <c r="A17" s="14" t="s">
        <v>33</v>
      </c>
      <c r="B17" s="20" t="s">
        <v>133</v>
      </c>
      <c r="C17" s="10" t="s">
        <v>138</v>
      </c>
      <c r="D17" t="s">
        <v>27</v>
      </c>
      <c r="E17">
        <v>1292</v>
      </c>
      <c r="F17">
        <v>1332</v>
      </c>
      <c r="G17">
        <v>1369</v>
      </c>
      <c r="H17">
        <v>1262</v>
      </c>
      <c r="I17">
        <v>1317</v>
      </c>
      <c r="J17">
        <v>1338</v>
      </c>
      <c r="K17">
        <v>1346</v>
      </c>
      <c r="L17">
        <v>1330</v>
      </c>
      <c r="M17">
        <v>1322</v>
      </c>
      <c r="N17">
        <v>1314</v>
      </c>
      <c r="O17">
        <f t="shared" si="2"/>
        <v>1322.2</v>
      </c>
      <c r="P17">
        <f t="shared" si="3"/>
        <v>3461256.5445026178</v>
      </c>
      <c r="Q17" s="19">
        <f t="shared" si="6"/>
        <v>27.91701989826278</v>
      </c>
      <c r="R17" s="19">
        <f t="shared" si="7"/>
        <v>2.1114067386373302E-2</v>
      </c>
      <c r="S17">
        <f t="shared" si="5"/>
        <v>3461256.5445026178</v>
      </c>
      <c r="T17">
        <f t="shared" si="4"/>
        <v>3461256.5445026178</v>
      </c>
    </row>
    <row r="18" spans="1:20" ht="16" x14ac:dyDescent="0.4">
      <c r="A18" s="14" t="s">
        <v>34</v>
      </c>
      <c r="B18" s="20" t="s">
        <v>133</v>
      </c>
      <c r="C18" s="10" t="s">
        <v>138</v>
      </c>
      <c r="D18" t="s">
        <v>27</v>
      </c>
      <c r="E18">
        <v>1401</v>
      </c>
      <c r="F18">
        <v>1391</v>
      </c>
      <c r="G18">
        <v>1368</v>
      </c>
      <c r="H18">
        <v>1419</v>
      </c>
      <c r="I18">
        <v>1424</v>
      </c>
      <c r="J18">
        <v>1477</v>
      </c>
      <c r="K18">
        <v>1419</v>
      </c>
      <c r="L18">
        <v>1463</v>
      </c>
      <c r="M18">
        <v>1407</v>
      </c>
      <c r="N18">
        <v>1359</v>
      </c>
      <c r="O18">
        <f t="shared" si="2"/>
        <v>1412.8</v>
      </c>
      <c r="P18">
        <f t="shared" si="3"/>
        <v>3698429.3193717273</v>
      </c>
      <c r="Q18" s="19">
        <f t="shared" si="6"/>
        <v>35.204545161101002</v>
      </c>
      <c r="R18" s="19">
        <f t="shared" si="7"/>
        <v>2.4918279417540348E-2</v>
      </c>
      <c r="S18">
        <f t="shared" si="5"/>
        <v>3698429.3193717273</v>
      </c>
      <c r="T18">
        <f t="shared" si="4"/>
        <v>3698429.3193717273</v>
      </c>
    </row>
    <row r="19" spans="1:20" ht="16" x14ac:dyDescent="0.4">
      <c r="A19" s="14" t="s">
        <v>35</v>
      </c>
      <c r="B19" s="20" t="s">
        <v>133</v>
      </c>
      <c r="C19" s="10" t="s">
        <v>138</v>
      </c>
      <c r="D19" t="s">
        <v>27</v>
      </c>
      <c r="E19">
        <v>1262</v>
      </c>
      <c r="F19">
        <v>1236</v>
      </c>
      <c r="G19">
        <v>1201</v>
      </c>
      <c r="H19">
        <v>1296</v>
      </c>
      <c r="I19">
        <v>1339</v>
      </c>
      <c r="J19">
        <v>1302</v>
      </c>
      <c r="K19">
        <v>1283</v>
      </c>
      <c r="L19">
        <v>1302</v>
      </c>
      <c r="M19">
        <v>1340</v>
      </c>
      <c r="N19">
        <v>1353</v>
      </c>
      <c r="O19">
        <f t="shared" si="2"/>
        <v>1291.4000000000001</v>
      </c>
      <c r="P19">
        <f t="shared" si="3"/>
        <v>3380628.2722513089</v>
      </c>
      <c r="Q19" s="19">
        <f t="shared" si="6"/>
        <v>45.655667775206183</v>
      </c>
      <c r="R19" s="19">
        <f t="shared" si="7"/>
        <v>3.535362225120503E-2</v>
      </c>
      <c r="S19">
        <f t="shared" si="5"/>
        <v>3380628.2722513089</v>
      </c>
      <c r="T19">
        <f t="shared" si="4"/>
        <v>3380628.2722513089</v>
      </c>
    </row>
    <row r="20" spans="1:20" ht="16" x14ac:dyDescent="0.4">
      <c r="A20" s="14" t="s">
        <v>36</v>
      </c>
      <c r="B20" s="20" t="s">
        <v>133</v>
      </c>
      <c r="C20" s="10" t="s">
        <v>138</v>
      </c>
      <c r="D20" t="s">
        <v>27</v>
      </c>
      <c r="E20">
        <v>1255</v>
      </c>
      <c r="F20">
        <v>1252</v>
      </c>
      <c r="G20">
        <v>1278</v>
      </c>
      <c r="H20">
        <v>1240</v>
      </c>
      <c r="I20">
        <v>1292</v>
      </c>
      <c r="J20">
        <v>1293</v>
      </c>
      <c r="K20">
        <v>1281</v>
      </c>
      <c r="L20">
        <v>1268</v>
      </c>
      <c r="M20">
        <v>1254</v>
      </c>
      <c r="N20">
        <v>1245</v>
      </c>
      <c r="O20">
        <f t="shared" si="2"/>
        <v>1265.8</v>
      </c>
      <c r="P20">
        <f t="shared" si="3"/>
        <v>3313612.5654450259</v>
      </c>
      <c r="Q20" s="19">
        <f t="shared" si="6"/>
        <v>18.318296864064628</v>
      </c>
      <c r="R20" s="19">
        <f t="shared" si="7"/>
        <v>1.4471715013481299E-2</v>
      </c>
      <c r="S20">
        <f t="shared" si="5"/>
        <v>3313612.5654450259</v>
      </c>
      <c r="T20">
        <f t="shared" si="4"/>
        <v>3313612.5654450259</v>
      </c>
    </row>
    <row r="21" spans="1:20" ht="16" x14ac:dyDescent="0.4">
      <c r="A21" s="14" t="s">
        <v>37</v>
      </c>
      <c r="B21" s="20" t="s">
        <v>133</v>
      </c>
      <c r="C21" s="10" t="s">
        <v>138</v>
      </c>
      <c r="D21" t="s">
        <v>27</v>
      </c>
      <c r="E21">
        <v>1195</v>
      </c>
      <c r="F21">
        <v>1192</v>
      </c>
      <c r="G21">
        <v>1221</v>
      </c>
      <c r="H21">
        <v>1234</v>
      </c>
      <c r="I21">
        <v>1262</v>
      </c>
      <c r="J21">
        <v>1287</v>
      </c>
      <c r="K21">
        <v>1299</v>
      </c>
      <c r="L21">
        <v>1271</v>
      </c>
      <c r="M21">
        <v>1236</v>
      </c>
      <c r="N21">
        <v>1288</v>
      </c>
      <c r="O21">
        <f t="shared" si="2"/>
        <v>1248.5</v>
      </c>
      <c r="P21">
        <f t="shared" si="3"/>
        <v>3268324.6073298426</v>
      </c>
      <c r="Q21" s="19">
        <f t="shared" si="6"/>
        <v>36.685828326480511</v>
      </c>
      <c r="R21" s="19">
        <f t="shared" si="7"/>
        <v>2.9383923369227481E-2</v>
      </c>
      <c r="S21">
        <f t="shared" si="5"/>
        <v>3268324.6073298426</v>
      </c>
      <c r="T21">
        <f t="shared" si="4"/>
        <v>3268324.6073298426</v>
      </c>
    </row>
    <row r="22" spans="1:20" ht="16" x14ac:dyDescent="0.4">
      <c r="A22" s="9" t="s">
        <v>39</v>
      </c>
      <c r="B22" s="20" t="s">
        <v>133</v>
      </c>
      <c r="C22" s="10" t="s">
        <v>138</v>
      </c>
      <c r="D22" s="20" t="s">
        <v>38</v>
      </c>
      <c r="E22">
        <v>1137</v>
      </c>
      <c r="F22">
        <v>1130</v>
      </c>
      <c r="G22">
        <v>1140</v>
      </c>
      <c r="H22">
        <v>1125</v>
      </c>
      <c r="I22">
        <v>1122</v>
      </c>
      <c r="J22">
        <v>1141</v>
      </c>
      <c r="K22">
        <v>1076</v>
      </c>
      <c r="L22">
        <v>1108</v>
      </c>
      <c r="M22">
        <v>1101</v>
      </c>
      <c r="N22">
        <v>1130</v>
      </c>
      <c r="O22">
        <f t="shared" si="2"/>
        <v>1121</v>
      </c>
      <c r="P22">
        <f t="shared" si="3"/>
        <v>2934554.9738219893</v>
      </c>
      <c r="Q22" s="11">
        <f t="shared" ref="Q22:Q31" si="8">_xlfn.STDEV.P(E22:N22)</f>
        <v>19.467922333931785</v>
      </c>
      <c r="R22" s="11">
        <f t="shared" ref="R22:R31" si="9">Q22/O22</f>
        <v>1.7366567648467248E-2</v>
      </c>
      <c r="S22">
        <f t="shared" si="5"/>
        <v>2934554.9738219893</v>
      </c>
      <c r="T22">
        <f t="shared" si="4"/>
        <v>2934554.9738219893</v>
      </c>
    </row>
    <row r="23" spans="1:20" ht="16" x14ac:dyDescent="0.4">
      <c r="A23" s="9" t="s">
        <v>40</v>
      </c>
      <c r="B23" s="20" t="s">
        <v>133</v>
      </c>
      <c r="C23" s="10" t="s">
        <v>138</v>
      </c>
      <c r="D23" s="20" t="s">
        <v>38</v>
      </c>
      <c r="E23">
        <v>1225</v>
      </c>
      <c r="F23">
        <v>1196</v>
      </c>
      <c r="G23">
        <v>1240</v>
      </c>
      <c r="H23">
        <v>1197</v>
      </c>
      <c r="I23">
        <v>1253</v>
      </c>
      <c r="J23">
        <v>1266</v>
      </c>
      <c r="K23">
        <v>1234</v>
      </c>
      <c r="L23">
        <v>1276</v>
      </c>
      <c r="M23">
        <v>1288</v>
      </c>
      <c r="N23">
        <v>1232</v>
      </c>
      <c r="O23">
        <f t="shared" si="2"/>
        <v>1240.7</v>
      </c>
      <c r="P23">
        <f t="shared" si="3"/>
        <v>3247905.7591623035</v>
      </c>
      <c r="Q23" s="11">
        <f t="shared" si="8"/>
        <v>29.240554030318918</v>
      </c>
      <c r="R23" s="11">
        <f t="shared" si="9"/>
        <v>2.3567787563729278E-2</v>
      </c>
      <c r="S23">
        <f t="shared" si="5"/>
        <v>3247905.7591623035</v>
      </c>
      <c r="T23">
        <f t="shared" si="4"/>
        <v>3247905.7591623035</v>
      </c>
    </row>
    <row r="24" spans="1:20" ht="16" x14ac:dyDescent="0.4">
      <c r="A24" s="9" t="s">
        <v>41</v>
      </c>
      <c r="B24" s="20" t="s">
        <v>133</v>
      </c>
      <c r="C24" s="10" t="s">
        <v>138</v>
      </c>
      <c r="D24" s="20" t="s">
        <v>38</v>
      </c>
      <c r="E24">
        <v>1206</v>
      </c>
      <c r="F24">
        <v>1159</v>
      </c>
      <c r="G24">
        <v>1179</v>
      </c>
      <c r="H24">
        <v>1186</v>
      </c>
      <c r="I24">
        <v>1161</v>
      </c>
      <c r="J24">
        <v>1129</v>
      </c>
      <c r="K24">
        <v>1153</v>
      </c>
      <c r="L24">
        <v>1096</v>
      </c>
      <c r="M24">
        <v>1192</v>
      </c>
      <c r="N24">
        <v>1156</v>
      </c>
      <c r="O24">
        <f t="shared" si="2"/>
        <v>1161.7</v>
      </c>
      <c r="P24">
        <f t="shared" si="3"/>
        <v>3041099.4764397908</v>
      </c>
      <c r="Q24" s="11">
        <f t="shared" si="8"/>
        <v>30.450123152460318</v>
      </c>
      <c r="R24" s="11">
        <f t="shared" si="9"/>
        <v>2.6211692478660856E-2</v>
      </c>
      <c r="S24">
        <f t="shared" si="5"/>
        <v>3041099.4764397908</v>
      </c>
      <c r="T24">
        <f t="shared" si="4"/>
        <v>3041099.4764397908</v>
      </c>
    </row>
    <row r="25" spans="1:20" ht="16" x14ac:dyDescent="0.4">
      <c r="A25" s="9" t="s">
        <v>42</v>
      </c>
      <c r="B25" s="20" t="s">
        <v>133</v>
      </c>
      <c r="C25" s="10" t="s">
        <v>138</v>
      </c>
      <c r="D25" s="20" t="s">
        <v>38</v>
      </c>
      <c r="E25">
        <v>1119</v>
      </c>
      <c r="F25">
        <v>1113</v>
      </c>
      <c r="G25">
        <v>1114</v>
      </c>
      <c r="H25">
        <v>1101</v>
      </c>
      <c r="I25">
        <v>1141</v>
      </c>
      <c r="J25">
        <v>1118</v>
      </c>
      <c r="K25">
        <v>1143</v>
      </c>
      <c r="L25">
        <v>1120</v>
      </c>
      <c r="M25">
        <v>1158</v>
      </c>
      <c r="N25">
        <v>1124</v>
      </c>
      <c r="O25">
        <f t="shared" si="2"/>
        <v>1125.0999999999999</v>
      </c>
      <c r="P25">
        <f t="shared" si="3"/>
        <v>2945287.9581151828</v>
      </c>
      <c r="Q25" s="11">
        <f t="shared" si="8"/>
        <v>16.189193926814269</v>
      </c>
      <c r="R25" s="11">
        <f t="shared" si="9"/>
        <v>1.4389115569117652E-2</v>
      </c>
      <c r="S25">
        <f t="shared" si="5"/>
        <v>2945287.9581151828</v>
      </c>
      <c r="T25">
        <f t="shared" si="4"/>
        <v>2945287.9581151828</v>
      </c>
    </row>
    <row r="26" spans="1:20" ht="16" x14ac:dyDescent="0.4">
      <c r="A26" s="9" t="s">
        <v>43</v>
      </c>
      <c r="B26" s="20" t="s">
        <v>133</v>
      </c>
      <c r="C26" s="10" t="s">
        <v>138</v>
      </c>
      <c r="D26" s="20" t="s">
        <v>38</v>
      </c>
      <c r="E26">
        <v>1175</v>
      </c>
      <c r="F26">
        <v>1197</v>
      </c>
      <c r="G26">
        <v>1209</v>
      </c>
      <c r="H26">
        <v>1201</v>
      </c>
      <c r="I26">
        <v>1219</v>
      </c>
      <c r="J26">
        <v>1198</v>
      </c>
      <c r="K26">
        <v>1203</v>
      </c>
      <c r="L26">
        <v>1189</v>
      </c>
      <c r="M26">
        <v>1222</v>
      </c>
      <c r="N26">
        <v>1211</v>
      </c>
      <c r="O26">
        <f t="shared" si="2"/>
        <v>1202.4000000000001</v>
      </c>
      <c r="P26">
        <f t="shared" si="3"/>
        <v>3147643.9790575919</v>
      </c>
      <c r="Q26" s="11">
        <f t="shared" si="8"/>
        <v>13.260467563400621</v>
      </c>
      <c r="R26" s="11">
        <f t="shared" si="9"/>
        <v>1.1028332970226729E-2</v>
      </c>
      <c r="S26">
        <f t="shared" si="5"/>
        <v>3147643.9790575919</v>
      </c>
      <c r="T26">
        <f t="shared" si="4"/>
        <v>3147643.9790575919</v>
      </c>
    </row>
    <row r="27" spans="1:20" ht="16" x14ac:dyDescent="0.4">
      <c r="A27" s="9" t="s">
        <v>44</v>
      </c>
      <c r="B27" s="20" t="s">
        <v>133</v>
      </c>
      <c r="C27" s="10" t="s">
        <v>138</v>
      </c>
      <c r="D27" s="20" t="s">
        <v>38</v>
      </c>
      <c r="E27">
        <v>1170</v>
      </c>
      <c r="F27">
        <v>1130</v>
      </c>
      <c r="G27">
        <v>1163</v>
      </c>
      <c r="H27">
        <v>1159</v>
      </c>
      <c r="I27">
        <v>1175</v>
      </c>
      <c r="J27">
        <v>1144</v>
      </c>
      <c r="K27">
        <v>1150</v>
      </c>
      <c r="L27">
        <v>1169</v>
      </c>
      <c r="M27">
        <v>1189</v>
      </c>
      <c r="N27">
        <v>1138</v>
      </c>
      <c r="O27">
        <f t="shared" si="2"/>
        <v>1158.7</v>
      </c>
      <c r="P27">
        <f t="shared" si="3"/>
        <v>3033246.0732984291</v>
      </c>
      <c r="Q27" s="11">
        <f t="shared" si="8"/>
        <v>17.262966141425405</v>
      </c>
      <c r="R27" s="11">
        <f t="shared" si="9"/>
        <v>1.4898564029882976E-2</v>
      </c>
      <c r="S27">
        <f t="shared" si="5"/>
        <v>3033246.0732984291</v>
      </c>
      <c r="T27">
        <f>((AVERAGE(E27:N27))/0.000382)*1</f>
        <v>3033246.0732984291</v>
      </c>
    </row>
    <row r="28" spans="1:20" ht="16" x14ac:dyDescent="0.4">
      <c r="A28" s="9" t="s">
        <v>45</v>
      </c>
      <c r="B28" s="20" t="s">
        <v>133</v>
      </c>
      <c r="C28" s="10" t="s">
        <v>138</v>
      </c>
      <c r="D28" s="20" t="s">
        <v>38</v>
      </c>
      <c r="E28">
        <v>1204</v>
      </c>
      <c r="F28">
        <v>1218</v>
      </c>
      <c r="G28">
        <v>1229</v>
      </c>
      <c r="H28">
        <v>1140</v>
      </c>
      <c r="I28">
        <v>1231</v>
      </c>
      <c r="J28">
        <v>1249</v>
      </c>
      <c r="K28">
        <v>1272</v>
      </c>
      <c r="L28">
        <v>1207</v>
      </c>
      <c r="M28">
        <v>1200</v>
      </c>
      <c r="N28">
        <v>1234</v>
      </c>
      <c r="O28">
        <f t="shared" si="2"/>
        <v>1218.4000000000001</v>
      </c>
      <c r="P28">
        <f t="shared" si="3"/>
        <v>3189528.7958115186</v>
      </c>
      <c r="Q28" s="11">
        <f t="shared" si="8"/>
        <v>33.386224704209965</v>
      </c>
      <c r="R28" s="11">
        <f t="shared" si="9"/>
        <v>2.7401694602930043E-2</v>
      </c>
      <c r="S28">
        <f t="shared" si="5"/>
        <v>3189528.7958115186</v>
      </c>
      <c r="T28">
        <f t="shared" si="4"/>
        <v>3189528.7958115186</v>
      </c>
    </row>
    <row r="29" spans="1:20" ht="16" x14ac:dyDescent="0.4">
      <c r="A29" s="9" t="s">
        <v>46</v>
      </c>
      <c r="B29" s="20" t="s">
        <v>133</v>
      </c>
      <c r="C29" s="10" t="s">
        <v>138</v>
      </c>
      <c r="D29" s="20" t="s">
        <v>38</v>
      </c>
      <c r="E29">
        <v>1192</v>
      </c>
      <c r="F29">
        <v>1190</v>
      </c>
      <c r="G29">
        <v>1234</v>
      </c>
      <c r="H29">
        <v>1205</v>
      </c>
      <c r="I29">
        <v>1233</v>
      </c>
      <c r="J29">
        <v>1203</v>
      </c>
      <c r="K29">
        <v>1220</v>
      </c>
      <c r="L29">
        <v>1195</v>
      </c>
      <c r="M29">
        <v>1213</v>
      </c>
      <c r="N29">
        <v>1243</v>
      </c>
      <c r="O29">
        <f t="shared" si="2"/>
        <v>1212.8</v>
      </c>
      <c r="P29">
        <f t="shared" si="3"/>
        <v>3174869.1099476437</v>
      </c>
      <c r="Q29" s="11">
        <f t="shared" si="8"/>
        <v>18.021098745637012</v>
      </c>
      <c r="R29" s="11">
        <f t="shared" si="9"/>
        <v>1.4859085377339225E-2</v>
      </c>
      <c r="S29">
        <f t="shared" si="5"/>
        <v>3174869.1099476437</v>
      </c>
      <c r="T29">
        <f t="shared" si="4"/>
        <v>3174869.1099476437</v>
      </c>
    </row>
    <row r="30" spans="1:20" ht="16" x14ac:dyDescent="0.4">
      <c r="A30" s="9" t="s">
        <v>47</v>
      </c>
      <c r="B30" s="20" t="s">
        <v>133</v>
      </c>
      <c r="C30" s="10" t="s">
        <v>138</v>
      </c>
      <c r="D30" s="20" t="s">
        <v>38</v>
      </c>
      <c r="E30">
        <v>1302</v>
      </c>
      <c r="F30">
        <v>1315</v>
      </c>
      <c r="G30">
        <v>1249</v>
      </c>
      <c r="H30">
        <v>1314</v>
      </c>
      <c r="I30">
        <v>1330</v>
      </c>
      <c r="J30">
        <v>1327</v>
      </c>
      <c r="K30">
        <v>1369</v>
      </c>
      <c r="L30">
        <v>1334</v>
      </c>
      <c r="M30">
        <v>1341</v>
      </c>
      <c r="N30">
        <v>1320</v>
      </c>
      <c r="O30">
        <f t="shared" si="2"/>
        <v>1320.1</v>
      </c>
      <c r="P30">
        <f t="shared" si="3"/>
        <v>3455759.1623036647</v>
      </c>
      <c r="Q30" s="11">
        <f t="shared" si="8"/>
        <v>29.347742672989352</v>
      </c>
      <c r="R30" s="11">
        <f t="shared" si="9"/>
        <v>2.2231454187553484E-2</v>
      </c>
      <c r="S30">
        <f t="shared" si="5"/>
        <v>3455759.1623036647</v>
      </c>
      <c r="T30">
        <f t="shared" si="4"/>
        <v>3455759.1623036647</v>
      </c>
    </row>
    <row r="31" spans="1:20" ht="16" x14ac:dyDescent="0.4">
      <c r="A31" s="9" t="s">
        <v>48</v>
      </c>
      <c r="B31" s="20" t="s">
        <v>133</v>
      </c>
      <c r="C31" s="10" t="s">
        <v>138</v>
      </c>
      <c r="D31" s="20" t="s">
        <v>38</v>
      </c>
      <c r="E31">
        <v>1085</v>
      </c>
      <c r="F31">
        <v>1096</v>
      </c>
      <c r="G31">
        <v>1088</v>
      </c>
      <c r="H31">
        <v>1095</v>
      </c>
      <c r="I31">
        <v>1099</v>
      </c>
      <c r="J31">
        <v>1113</v>
      </c>
      <c r="K31">
        <v>1091</v>
      </c>
      <c r="L31">
        <v>1091</v>
      </c>
      <c r="M31">
        <v>1090</v>
      </c>
      <c r="N31">
        <v>1092</v>
      </c>
      <c r="O31">
        <f t="shared" si="2"/>
        <v>1094</v>
      </c>
      <c r="P31">
        <f t="shared" si="3"/>
        <v>2863874.345549738</v>
      </c>
      <c r="Q31" s="11">
        <f t="shared" si="8"/>
        <v>7.3891812807644666</v>
      </c>
      <c r="R31" s="11">
        <f t="shared" si="9"/>
        <v>6.7542790500589277E-3</v>
      </c>
      <c r="S31">
        <f t="shared" si="5"/>
        <v>2863874.345549738</v>
      </c>
      <c r="T31">
        <f t="shared" si="4"/>
        <v>2863874.345549738</v>
      </c>
    </row>
    <row r="32" spans="1:20" ht="16" x14ac:dyDescent="0.4">
      <c r="A32" s="9" t="s">
        <v>50</v>
      </c>
      <c r="B32" s="20" t="s">
        <v>133</v>
      </c>
      <c r="C32" s="10" t="s">
        <v>138</v>
      </c>
      <c r="D32" s="20" t="s">
        <v>49</v>
      </c>
      <c r="E32">
        <v>1397</v>
      </c>
      <c r="F32">
        <v>1349</v>
      </c>
      <c r="G32">
        <v>1410</v>
      </c>
      <c r="H32">
        <v>1286</v>
      </c>
      <c r="I32">
        <v>1361</v>
      </c>
      <c r="J32">
        <v>1224</v>
      </c>
      <c r="K32">
        <v>1412</v>
      </c>
      <c r="L32">
        <v>1330</v>
      </c>
      <c r="M32">
        <v>1381</v>
      </c>
      <c r="N32">
        <v>1389</v>
      </c>
      <c r="O32">
        <f t="shared" si="2"/>
        <v>1353.9</v>
      </c>
      <c r="P32">
        <f t="shared" si="3"/>
        <v>3544240.8376963353</v>
      </c>
      <c r="Q32" s="11">
        <f t="shared" ref="Q32:Q40" si="10">_xlfn.STDEV.P(E32:N32)</f>
        <v>56.988507613377628</v>
      </c>
      <c r="R32" s="11">
        <f t="shared" ref="R32:R40" si="11">Q32/O32</f>
        <v>4.2092109914600502E-2</v>
      </c>
      <c r="S32">
        <f t="shared" si="5"/>
        <v>3544240.8376963353</v>
      </c>
      <c r="T32">
        <f t="shared" si="4"/>
        <v>3544240.8376963353</v>
      </c>
    </row>
    <row r="33" spans="1:23" ht="16" x14ac:dyDescent="0.4">
      <c r="A33" s="9" t="s">
        <v>51</v>
      </c>
      <c r="B33" s="20" t="s">
        <v>133</v>
      </c>
      <c r="C33" s="10" t="s">
        <v>138</v>
      </c>
      <c r="D33" s="20" t="s">
        <v>49</v>
      </c>
      <c r="E33">
        <v>1165</v>
      </c>
      <c r="F33">
        <v>1182</v>
      </c>
      <c r="G33">
        <v>1220</v>
      </c>
      <c r="H33">
        <v>1203</v>
      </c>
      <c r="I33">
        <v>1167</v>
      </c>
      <c r="J33">
        <v>1186</v>
      </c>
      <c r="K33">
        <v>1155</v>
      </c>
      <c r="L33">
        <v>1117</v>
      </c>
      <c r="M33">
        <v>1184</v>
      </c>
      <c r="N33">
        <v>1169</v>
      </c>
      <c r="O33">
        <f t="shared" si="2"/>
        <v>1174.8</v>
      </c>
      <c r="P33">
        <f t="shared" si="3"/>
        <v>3075392.6701570679</v>
      </c>
      <c r="Q33" s="11">
        <f t="shared" si="10"/>
        <v>26.502075390429333</v>
      </c>
      <c r="R33" s="11">
        <f t="shared" si="11"/>
        <v>2.255879757442061E-2</v>
      </c>
      <c r="S33">
        <f t="shared" si="5"/>
        <v>3075392.6701570679</v>
      </c>
      <c r="T33">
        <f t="shared" si="4"/>
        <v>3075392.6701570679</v>
      </c>
    </row>
    <row r="34" spans="1:23" ht="16" x14ac:dyDescent="0.4">
      <c r="A34" s="9" t="s">
        <v>52</v>
      </c>
      <c r="B34" s="20" t="s">
        <v>133</v>
      </c>
      <c r="C34" s="10" t="s">
        <v>138</v>
      </c>
      <c r="D34" s="20" t="s">
        <v>49</v>
      </c>
      <c r="E34">
        <v>1212</v>
      </c>
      <c r="F34">
        <v>1225</v>
      </c>
      <c r="G34">
        <v>1232</v>
      </c>
      <c r="H34">
        <v>1291</v>
      </c>
      <c r="I34">
        <v>1208</v>
      </c>
      <c r="J34">
        <v>1243</v>
      </c>
      <c r="K34">
        <v>1207</v>
      </c>
      <c r="L34">
        <v>1160</v>
      </c>
      <c r="M34">
        <v>1218</v>
      </c>
      <c r="N34">
        <v>1198</v>
      </c>
      <c r="O34">
        <f t="shared" si="2"/>
        <v>1219.4000000000001</v>
      </c>
      <c r="P34">
        <f t="shared" si="3"/>
        <v>3192146.5968586388</v>
      </c>
      <c r="Q34" s="11">
        <f t="shared" si="10"/>
        <v>31.938065063494378</v>
      </c>
      <c r="R34" s="11">
        <f t="shared" si="11"/>
        <v>2.6191622981379673E-2</v>
      </c>
      <c r="S34">
        <f t="shared" si="5"/>
        <v>3192146.5968586388</v>
      </c>
      <c r="T34">
        <f t="shared" si="4"/>
        <v>3192146.5968586388</v>
      </c>
    </row>
    <row r="35" spans="1:23" ht="16" x14ac:dyDescent="0.4">
      <c r="A35" s="9" t="s">
        <v>53</v>
      </c>
      <c r="B35" s="20" t="s">
        <v>133</v>
      </c>
      <c r="C35" s="10" t="s">
        <v>138</v>
      </c>
      <c r="D35" s="20" t="s">
        <v>49</v>
      </c>
      <c r="E35">
        <v>1137</v>
      </c>
      <c r="F35">
        <v>1161</v>
      </c>
      <c r="G35">
        <v>1151</v>
      </c>
      <c r="H35">
        <v>1150</v>
      </c>
      <c r="I35">
        <v>1118</v>
      </c>
      <c r="J35">
        <v>1141</v>
      </c>
      <c r="K35">
        <v>1145</v>
      </c>
      <c r="L35">
        <v>1110</v>
      </c>
      <c r="M35">
        <v>1094</v>
      </c>
      <c r="N35">
        <v>1142</v>
      </c>
      <c r="O35">
        <f t="shared" si="2"/>
        <v>1134.9000000000001</v>
      </c>
      <c r="P35">
        <f t="shared" si="3"/>
        <v>2970942.4083769633</v>
      </c>
      <c r="Q35" s="11">
        <f t="shared" si="10"/>
        <v>19.851700179077863</v>
      </c>
      <c r="R35" s="11">
        <f t="shared" si="11"/>
        <v>1.7492025886930884E-2</v>
      </c>
      <c r="S35">
        <f t="shared" si="5"/>
        <v>2970942.4083769633</v>
      </c>
      <c r="T35">
        <f t="shared" si="4"/>
        <v>2970942.4083769633</v>
      </c>
    </row>
    <row r="36" spans="1:23" ht="16" x14ac:dyDescent="0.4">
      <c r="A36" s="9" t="s">
        <v>54</v>
      </c>
      <c r="B36" s="20" t="s">
        <v>133</v>
      </c>
      <c r="C36" s="10" t="s">
        <v>138</v>
      </c>
      <c r="D36" s="20" t="s">
        <v>49</v>
      </c>
      <c r="E36">
        <v>1110</v>
      </c>
      <c r="F36">
        <v>1133</v>
      </c>
      <c r="G36">
        <v>1100</v>
      </c>
      <c r="H36">
        <v>1114</v>
      </c>
      <c r="I36">
        <v>1139</v>
      </c>
      <c r="J36">
        <v>1128</v>
      </c>
      <c r="K36">
        <v>1678</v>
      </c>
      <c r="L36">
        <v>700</v>
      </c>
      <c r="M36">
        <v>1586</v>
      </c>
      <c r="N36">
        <v>1126</v>
      </c>
      <c r="O36">
        <f t="shared" si="2"/>
        <v>1181.4000000000001</v>
      </c>
      <c r="P36">
        <f>(O36/0.000382)*1</f>
        <v>3092670.157068063</v>
      </c>
      <c r="Q36" s="11">
        <f t="shared" si="10"/>
        <v>258.53170018394263</v>
      </c>
      <c r="R36" s="11">
        <f>Q36/O36</f>
        <v>0.218835026395753</v>
      </c>
      <c r="S36">
        <f>((AVERAGE(E36,F36,G36,H36,I36,J36,M36, N36))/0.000382)*1</f>
        <v>3087696.3350785337</v>
      </c>
      <c r="T36">
        <f>((AVERAGE(E36,F36,G36,H36,I36,J36,N36))/0.000382)*1</f>
        <v>2935676.8885564692</v>
      </c>
      <c r="V36" s="21"/>
      <c r="W36" s="21"/>
    </row>
    <row r="37" spans="1:23" ht="16" x14ac:dyDescent="0.4">
      <c r="A37" s="9" t="s">
        <v>55</v>
      </c>
      <c r="B37" s="20" t="s">
        <v>133</v>
      </c>
      <c r="C37" s="10" t="s">
        <v>138</v>
      </c>
      <c r="D37" s="20" t="s">
        <v>49</v>
      </c>
      <c r="E37">
        <v>1050</v>
      </c>
      <c r="F37">
        <v>1075</v>
      </c>
      <c r="G37">
        <v>1091</v>
      </c>
      <c r="H37">
        <v>1101</v>
      </c>
      <c r="I37">
        <v>1117</v>
      </c>
      <c r="J37">
        <v>1152</v>
      </c>
      <c r="K37">
        <v>1142</v>
      </c>
      <c r="L37">
        <v>1095</v>
      </c>
      <c r="M37">
        <v>1137</v>
      </c>
      <c r="N37">
        <v>1135</v>
      </c>
      <c r="O37">
        <f t="shared" si="2"/>
        <v>1109.5</v>
      </c>
      <c r="P37">
        <f t="shared" si="3"/>
        <v>2904450.2617801046</v>
      </c>
      <c r="Q37" s="11">
        <f t="shared" si="10"/>
        <v>31.113501892265358</v>
      </c>
      <c r="R37" s="11">
        <f t="shared" si="11"/>
        <v>2.8042813783024208E-2</v>
      </c>
      <c r="S37">
        <f t="shared" si="5"/>
        <v>2904450.2617801046</v>
      </c>
      <c r="T37">
        <f t="shared" si="4"/>
        <v>2904450.2617801046</v>
      </c>
    </row>
    <row r="38" spans="1:23" ht="16" x14ac:dyDescent="0.4">
      <c r="A38" s="9" t="s">
        <v>56</v>
      </c>
      <c r="B38" s="20" t="s">
        <v>133</v>
      </c>
      <c r="C38" s="10" t="s">
        <v>138</v>
      </c>
      <c r="D38" s="20" t="s">
        <v>49</v>
      </c>
      <c r="E38">
        <v>1142</v>
      </c>
      <c r="F38">
        <v>1129</v>
      </c>
      <c r="G38">
        <v>1192</v>
      </c>
      <c r="H38">
        <v>1173</v>
      </c>
      <c r="I38">
        <v>1177</v>
      </c>
      <c r="J38">
        <v>1202</v>
      </c>
      <c r="K38">
        <v>1231</v>
      </c>
      <c r="L38">
        <v>1233</v>
      </c>
      <c r="M38">
        <v>1251</v>
      </c>
      <c r="N38">
        <v>1229</v>
      </c>
      <c r="O38">
        <f t="shared" si="2"/>
        <v>1195.9000000000001</v>
      </c>
      <c r="P38">
        <f t="shared" si="3"/>
        <v>3130628.2722513089</v>
      </c>
      <c r="Q38" s="11">
        <f t="shared" si="10"/>
        <v>38.80064432454698</v>
      </c>
      <c r="R38" s="11">
        <f t="shared" si="11"/>
        <v>3.2444723074292983E-2</v>
      </c>
      <c r="S38">
        <f t="shared" si="5"/>
        <v>3130628.2722513089</v>
      </c>
      <c r="T38">
        <f t="shared" si="4"/>
        <v>3130628.2722513089</v>
      </c>
    </row>
    <row r="39" spans="1:23" ht="16" x14ac:dyDescent="0.4">
      <c r="A39" s="9" t="s">
        <v>57</v>
      </c>
      <c r="B39" s="20" t="s">
        <v>133</v>
      </c>
      <c r="C39" s="10" t="s">
        <v>138</v>
      </c>
      <c r="D39" s="20" t="s">
        <v>49</v>
      </c>
      <c r="E39">
        <v>1106</v>
      </c>
      <c r="F39">
        <v>1110</v>
      </c>
      <c r="G39">
        <v>1182</v>
      </c>
      <c r="H39">
        <v>1196</v>
      </c>
      <c r="I39">
        <v>1231</v>
      </c>
      <c r="J39">
        <v>1238</v>
      </c>
      <c r="K39">
        <v>1284</v>
      </c>
      <c r="L39">
        <v>1297</v>
      </c>
      <c r="M39">
        <v>1374</v>
      </c>
      <c r="N39">
        <v>1344</v>
      </c>
      <c r="O39">
        <f t="shared" si="2"/>
        <v>1236.2</v>
      </c>
      <c r="P39">
        <f t="shared" si="3"/>
        <v>3236125.654450262</v>
      </c>
      <c r="Q39" s="11">
        <f t="shared" si="10"/>
        <v>86.05440139818532</v>
      </c>
      <c r="R39" s="11">
        <f t="shared" si="11"/>
        <v>6.9612038018269956E-2</v>
      </c>
      <c r="S39">
        <f t="shared" si="5"/>
        <v>3236125.654450262</v>
      </c>
      <c r="T39">
        <f t="shared" si="4"/>
        <v>3236125.654450262</v>
      </c>
    </row>
    <row r="40" spans="1:23" ht="16" x14ac:dyDescent="0.4">
      <c r="A40" s="9" t="s">
        <v>58</v>
      </c>
      <c r="B40" s="20" t="s">
        <v>133</v>
      </c>
      <c r="C40" s="10" t="s">
        <v>138</v>
      </c>
      <c r="D40" s="20" t="s">
        <v>49</v>
      </c>
      <c r="E40">
        <v>1063</v>
      </c>
      <c r="F40">
        <v>1074</v>
      </c>
      <c r="G40">
        <v>1079</v>
      </c>
      <c r="H40">
        <v>1066</v>
      </c>
      <c r="I40">
        <v>1122</v>
      </c>
      <c r="J40">
        <v>1344</v>
      </c>
      <c r="K40">
        <v>1103</v>
      </c>
      <c r="L40">
        <v>1141</v>
      </c>
      <c r="M40">
        <v>1124</v>
      </c>
      <c r="N40">
        <v>1139</v>
      </c>
      <c r="O40">
        <f t="shared" si="2"/>
        <v>1125.5</v>
      </c>
      <c r="P40">
        <f t="shared" si="3"/>
        <v>2946335.0785340313</v>
      </c>
      <c r="Q40" s="11">
        <f t="shared" si="10"/>
        <v>78.068239380685412</v>
      </c>
      <c r="R40" s="11">
        <f t="shared" si="11"/>
        <v>6.9363162488392194E-2</v>
      </c>
      <c r="S40">
        <f t="shared" si="5"/>
        <v>2946335.0785340313</v>
      </c>
      <c r="T40">
        <f t="shared" si="4"/>
        <v>2946335.0785340313</v>
      </c>
    </row>
    <row r="41" spans="1:23" ht="16" x14ac:dyDescent="0.4">
      <c r="A41" s="9" t="s">
        <v>59</v>
      </c>
      <c r="B41" s="20" t="s">
        <v>133</v>
      </c>
      <c r="C41" s="10" t="s">
        <v>138</v>
      </c>
      <c r="D41" s="20" t="s">
        <v>49</v>
      </c>
      <c r="E41">
        <v>1105</v>
      </c>
      <c r="F41">
        <v>1123</v>
      </c>
      <c r="G41">
        <v>1144</v>
      </c>
      <c r="H41">
        <v>1177</v>
      </c>
      <c r="I41">
        <v>1105</v>
      </c>
      <c r="J41">
        <v>990</v>
      </c>
      <c r="K41">
        <v>1323</v>
      </c>
      <c r="L41">
        <v>546</v>
      </c>
      <c r="M41">
        <v>1438</v>
      </c>
      <c r="N41">
        <v>1265</v>
      </c>
      <c r="O41">
        <f t="shared" si="2"/>
        <v>1121.5999999999999</v>
      </c>
      <c r="P41">
        <f t="shared" si="3"/>
        <v>2936125.6544502615</v>
      </c>
      <c r="Q41" s="11">
        <f t="shared" ref="Q41" si="12">_xlfn.STDEV.P(E41:N41)</f>
        <v>226.71400486074961</v>
      </c>
      <c r="R41" s="11">
        <f t="shared" ref="R41" si="13">Q41/O41</f>
        <v>0.20213445511835737</v>
      </c>
      <c r="S41">
        <f>((AVERAGE(E41,F41,G41,H41,I41,J41,K41,M41,N41))/0.000382)*1</f>
        <v>3103548.5747527634</v>
      </c>
      <c r="T41">
        <f>((AVERAGE(E41,F41,G41,H41,I41,J41,K41,N41))/0.000382)*1</f>
        <v>3020942.4083769633</v>
      </c>
      <c r="V41" s="21"/>
      <c r="W41" s="21"/>
    </row>
    <row r="42" spans="1:23" ht="16" x14ac:dyDescent="0.4">
      <c r="A42" s="10" t="s">
        <v>61</v>
      </c>
      <c r="B42" s="10" t="s">
        <v>134</v>
      </c>
      <c r="C42" s="10" t="s">
        <v>138</v>
      </c>
      <c r="D42" s="10" t="s">
        <v>134</v>
      </c>
      <c r="E42">
        <v>1332</v>
      </c>
      <c r="F42">
        <v>1328</v>
      </c>
      <c r="G42">
        <v>1350</v>
      </c>
      <c r="H42">
        <v>1335</v>
      </c>
      <c r="I42">
        <v>1295</v>
      </c>
      <c r="J42">
        <v>1327</v>
      </c>
      <c r="K42">
        <v>1322</v>
      </c>
      <c r="L42">
        <v>1330</v>
      </c>
      <c r="M42">
        <v>1288</v>
      </c>
      <c r="N42">
        <v>1369</v>
      </c>
      <c r="O42">
        <f t="shared" si="2"/>
        <v>1327.6</v>
      </c>
      <c r="P42">
        <f t="shared" si="3"/>
        <v>3475392.6701570675</v>
      </c>
      <c r="Q42" s="11">
        <f t="shared" ref="Q42:Q51" si="14">_xlfn.STDEV.P(E42:N42)</f>
        <v>22.267465055546847</v>
      </c>
      <c r="R42" s="11">
        <f t="shared" ref="R42:R51" si="15">Q42/O42</f>
        <v>1.6772721494084701E-2</v>
      </c>
      <c r="S42">
        <f t="shared" si="5"/>
        <v>3475392.6701570675</v>
      </c>
      <c r="T42">
        <f t="shared" si="4"/>
        <v>3475392.6701570675</v>
      </c>
    </row>
    <row r="43" spans="1:23" ht="16" x14ac:dyDescent="0.4">
      <c r="A43" s="10" t="s">
        <v>62</v>
      </c>
      <c r="B43" s="10" t="s">
        <v>134</v>
      </c>
      <c r="C43" s="10" t="s">
        <v>138</v>
      </c>
      <c r="D43" s="10" t="s">
        <v>134</v>
      </c>
      <c r="E43">
        <v>1315</v>
      </c>
      <c r="F43">
        <v>1317</v>
      </c>
      <c r="G43">
        <v>1273</v>
      </c>
      <c r="H43">
        <v>1296</v>
      </c>
      <c r="I43">
        <v>1294</v>
      </c>
      <c r="J43">
        <v>1287</v>
      </c>
      <c r="K43">
        <v>1295</v>
      </c>
      <c r="L43">
        <v>1286</v>
      </c>
      <c r="M43">
        <v>1255</v>
      </c>
      <c r="N43">
        <v>1255</v>
      </c>
      <c r="O43">
        <f t="shared" si="2"/>
        <v>1287.3</v>
      </c>
      <c r="P43">
        <f t="shared" si="3"/>
        <v>3369895.2879581149</v>
      </c>
      <c r="Q43" s="11">
        <f t="shared" si="14"/>
        <v>20.302955449884628</v>
      </c>
      <c r="R43" s="11">
        <f t="shared" si="15"/>
        <v>1.5771735764689373E-2</v>
      </c>
      <c r="S43">
        <f t="shared" si="5"/>
        <v>3369895.2879581149</v>
      </c>
      <c r="T43">
        <f t="shared" si="4"/>
        <v>3369895.2879581149</v>
      </c>
    </row>
    <row r="44" spans="1:23" ht="16" x14ac:dyDescent="0.4">
      <c r="A44" s="10" t="s">
        <v>63</v>
      </c>
      <c r="B44" s="10" t="s">
        <v>134</v>
      </c>
      <c r="C44" s="10" t="s">
        <v>138</v>
      </c>
      <c r="D44" s="10" t="s">
        <v>134</v>
      </c>
      <c r="E44">
        <v>1243</v>
      </c>
      <c r="F44">
        <v>1262</v>
      </c>
      <c r="G44">
        <v>1251</v>
      </c>
      <c r="H44">
        <v>1207</v>
      </c>
      <c r="I44">
        <v>1228</v>
      </c>
      <c r="J44">
        <v>1246</v>
      </c>
      <c r="K44">
        <v>1215</v>
      </c>
      <c r="L44">
        <v>1258</v>
      </c>
      <c r="M44">
        <v>1206</v>
      </c>
      <c r="N44">
        <v>1229</v>
      </c>
      <c r="O44">
        <f t="shared" si="2"/>
        <v>1234.5</v>
      </c>
      <c r="P44">
        <f t="shared" si="3"/>
        <v>3231675.3926701569</v>
      </c>
      <c r="Q44" s="11">
        <f t="shared" si="14"/>
        <v>19.510253714393361</v>
      </c>
      <c r="R44" s="11">
        <f t="shared" si="15"/>
        <v>1.5804174738269228E-2</v>
      </c>
      <c r="S44">
        <f t="shared" si="5"/>
        <v>3231675.3926701569</v>
      </c>
      <c r="T44">
        <f t="shared" si="4"/>
        <v>3231675.3926701569</v>
      </c>
    </row>
    <row r="45" spans="1:23" ht="16" x14ac:dyDescent="0.4">
      <c r="A45" s="10" t="s">
        <v>64</v>
      </c>
      <c r="B45" s="10" t="s">
        <v>134</v>
      </c>
      <c r="C45" s="10" t="s">
        <v>138</v>
      </c>
      <c r="D45" s="10" t="s">
        <v>134</v>
      </c>
      <c r="E45">
        <v>1218</v>
      </c>
      <c r="F45">
        <v>1208</v>
      </c>
      <c r="G45">
        <v>1185</v>
      </c>
      <c r="H45">
        <v>1234</v>
      </c>
      <c r="I45">
        <v>1217</v>
      </c>
      <c r="J45">
        <v>1222</v>
      </c>
      <c r="K45">
        <v>1192</v>
      </c>
      <c r="L45">
        <v>1215</v>
      </c>
      <c r="M45">
        <v>1197</v>
      </c>
      <c r="N45">
        <v>1170</v>
      </c>
      <c r="O45">
        <f t="shared" si="2"/>
        <v>1205.8</v>
      </c>
      <c r="P45">
        <f t="shared" si="3"/>
        <v>3156544.5026178006</v>
      </c>
      <c r="Q45" s="11">
        <f t="shared" si="14"/>
        <v>18.448848202530151</v>
      </c>
      <c r="R45" s="11">
        <f t="shared" si="15"/>
        <v>1.5300089735055691E-2</v>
      </c>
      <c r="S45">
        <f t="shared" si="5"/>
        <v>3156544.5026178006</v>
      </c>
      <c r="T45">
        <f t="shared" si="4"/>
        <v>3156544.5026178006</v>
      </c>
    </row>
    <row r="46" spans="1:23" ht="16" x14ac:dyDescent="0.4">
      <c r="A46" s="10" t="s">
        <v>65</v>
      </c>
      <c r="B46" s="10" t="s">
        <v>134</v>
      </c>
      <c r="C46" s="10" t="s">
        <v>138</v>
      </c>
      <c r="D46" s="10" t="s">
        <v>134</v>
      </c>
      <c r="E46">
        <v>1557</v>
      </c>
      <c r="F46">
        <v>1626</v>
      </c>
      <c r="G46">
        <v>1649</v>
      </c>
      <c r="H46">
        <v>1718</v>
      </c>
      <c r="I46">
        <v>1690</v>
      </c>
      <c r="J46">
        <v>1702</v>
      </c>
      <c r="K46">
        <v>1381</v>
      </c>
      <c r="L46">
        <v>1673</v>
      </c>
      <c r="M46">
        <v>1709</v>
      </c>
      <c r="N46">
        <v>1661</v>
      </c>
      <c r="O46">
        <f t="shared" si="2"/>
        <v>1636.6</v>
      </c>
      <c r="P46">
        <f t="shared" si="3"/>
        <v>4284293.1937172767</v>
      </c>
      <c r="Q46" s="11">
        <f t="shared" si="14"/>
        <v>96.358912405651395</v>
      </c>
      <c r="R46" s="11">
        <f t="shared" si="15"/>
        <v>5.8877497498259442E-2</v>
      </c>
      <c r="S46">
        <f t="shared" si="5"/>
        <v>4284293.1937172767</v>
      </c>
      <c r="T46">
        <f t="shared" si="4"/>
        <v>4284293.1937172767</v>
      </c>
    </row>
    <row r="47" spans="1:23" ht="16" x14ac:dyDescent="0.4">
      <c r="A47" s="10" t="s">
        <v>66</v>
      </c>
      <c r="B47" s="10" t="s">
        <v>134</v>
      </c>
      <c r="C47" s="10" t="s">
        <v>138</v>
      </c>
      <c r="D47" s="10" t="s">
        <v>134</v>
      </c>
      <c r="E47">
        <v>1545</v>
      </c>
      <c r="F47">
        <v>1391</v>
      </c>
      <c r="G47">
        <v>1454</v>
      </c>
      <c r="H47">
        <v>1477</v>
      </c>
      <c r="I47">
        <v>1487</v>
      </c>
      <c r="J47">
        <v>1445</v>
      </c>
      <c r="K47">
        <v>1481</v>
      </c>
      <c r="L47">
        <v>1402</v>
      </c>
      <c r="M47">
        <v>1525</v>
      </c>
      <c r="N47">
        <v>1538</v>
      </c>
      <c r="O47">
        <f t="shared" si="2"/>
        <v>1474.5</v>
      </c>
      <c r="P47">
        <f t="shared" si="3"/>
        <v>3859947.6439790577</v>
      </c>
      <c r="Q47" s="11">
        <f t="shared" si="14"/>
        <v>50.275739676309094</v>
      </c>
      <c r="R47" s="11">
        <f t="shared" si="15"/>
        <v>3.409680547732051E-2</v>
      </c>
      <c r="S47">
        <f t="shared" si="5"/>
        <v>3859947.6439790577</v>
      </c>
      <c r="T47">
        <f t="shared" si="4"/>
        <v>3859947.6439790577</v>
      </c>
    </row>
    <row r="48" spans="1:23" ht="16" x14ac:dyDescent="0.4">
      <c r="A48" s="10" t="s">
        <v>67</v>
      </c>
      <c r="B48" s="10" t="s">
        <v>134</v>
      </c>
      <c r="C48" s="10" t="s">
        <v>138</v>
      </c>
      <c r="D48" s="10" t="s">
        <v>134</v>
      </c>
      <c r="E48">
        <v>1478</v>
      </c>
      <c r="F48">
        <v>1585</v>
      </c>
      <c r="G48">
        <v>1520</v>
      </c>
      <c r="H48">
        <v>1528</v>
      </c>
      <c r="I48">
        <v>1523</v>
      </c>
      <c r="J48">
        <v>1557</v>
      </c>
      <c r="K48">
        <v>1622</v>
      </c>
      <c r="L48">
        <v>1535</v>
      </c>
      <c r="M48">
        <v>1600</v>
      </c>
      <c r="N48">
        <v>1569</v>
      </c>
      <c r="O48">
        <f t="shared" si="2"/>
        <v>1551.7</v>
      </c>
      <c r="P48">
        <f t="shared" si="3"/>
        <v>4062041.8848167537</v>
      </c>
      <c r="Q48" s="11">
        <f t="shared" si="14"/>
        <v>41.002560895631873</v>
      </c>
      <c r="R48" s="11">
        <f t="shared" si="15"/>
        <v>2.6424283621596874E-2</v>
      </c>
      <c r="S48">
        <f t="shared" si="5"/>
        <v>4062041.8848167537</v>
      </c>
      <c r="T48">
        <f t="shared" si="4"/>
        <v>4062041.8848167537</v>
      </c>
    </row>
    <row r="49" spans="1:23" ht="16" x14ac:dyDescent="0.4">
      <c r="A49" s="10" t="s">
        <v>68</v>
      </c>
      <c r="B49" s="10" t="s">
        <v>134</v>
      </c>
      <c r="C49" s="10" t="s">
        <v>138</v>
      </c>
      <c r="D49" s="10" t="s">
        <v>134</v>
      </c>
      <c r="E49">
        <v>1584</v>
      </c>
      <c r="F49">
        <v>1662</v>
      </c>
      <c r="G49">
        <v>1629</v>
      </c>
      <c r="H49">
        <v>1607</v>
      </c>
      <c r="I49">
        <v>1565</v>
      </c>
      <c r="J49">
        <v>1421</v>
      </c>
      <c r="K49">
        <v>1685</v>
      </c>
      <c r="L49">
        <v>1630</v>
      </c>
      <c r="M49">
        <v>1473</v>
      </c>
      <c r="N49">
        <v>1592</v>
      </c>
      <c r="O49">
        <f t="shared" si="2"/>
        <v>1584.8</v>
      </c>
      <c r="P49">
        <f t="shared" si="3"/>
        <v>4148691.0994764394</v>
      </c>
      <c r="Q49" s="11">
        <f t="shared" si="14"/>
        <v>77.629633517104793</v>
      </c>
      <c r="R49" s="11">
        <f t="shared" si="15"/>
        <v>4.8983867691257441E-2</v>
      </c>
      <c r="S49">
        <f t="shared" si="5"/>
        <v>4148691.0994764394</v>
      </c>
      <c r="T49">
        <f t="shared" si="4"/>
        <v>4148691.0994764394</v>
      </c>
    </row>
    <row r="50" spans="1:23" ht="16" x14ac:dyDescent="0.4">
      <c r="A50" s="10" t="s">
        <v>69</v>
      </c>
      <c r="B50" s="10" t="s">
        <v>134</v>
      </c>
      <c r="C50" s="10" t="s">
        <v>138</v>
      </c>
      <c r="D50" s="10" t="s">
        <v>134</v>
      </c>
      <c r="E50">
        <v>1143</v>
      </c>
      <c r="F50">
        <v>1168</v>
      </c>
      <c r="G50">
        <v>1096</v>
      </c>
      <c r="H50">
        <v>1159</v>
      </c>
      <c r="I50">
        <v>1186</v>
      </c>
      <c r="J50">
        <v>1116</v>
      </c>
      <c r="K50">
        <v>1108</v>
      </c>
      <c r="L50">
        <v>1190</v>
      </c>
      <c r="M50">
        <v>1276</v>
      </c>
      <c r="N50">
        <v>1216</v>
      </c>
      <c r="O50">
        <f t="shared" si="2"/>
        <v>1165.8</v>
      </c>
      <c r="P50">
        <f t="shared" si="3"/>
        <v>3051832.4607329839</v>
      </c>
      <c r="Q50" s="11">
        <f t="shared" si="14"/>
        <v>51.886028948070404</v>
      </c>
      <c r="R50" s="11">
        <f t="shared" si="15"/>
        <v>4.4506801293592732E-2</v>
      </c>
      <c r="S50">
        <f t="shared" si="5"/>
        <v>3051832.4607329839</v>
      </c>
      <c r="T50">
        <f t="shared" si="4"/>
        <v>3051832.4607329839</v>
      </c>
    </row>
    <row r="51" spans="1:23" ht="16" x14ac:dyDescent="0.4">
      <c r="A51" s="10" t="s">
        <v>70</v>
      </c>
      <c r="B51" s="10" t="s">
        <v>134</v>
      </c>
      <c r="C51" s="10" t="s">
        <v>138</v>
      </c>
      <c r="D51" s="10" t="s">
        <v>134</v>
      </c>
      <c r="E51">
        <v>1414</v>
      </c>
      <c r="F51">
        <v>1342</v>
      </c>
      <c r="G51">
        <v>1444</v>
      </c>
      <c r="H51">
        <v>1477</v>
      </c>
      <c r="I51">
        <v>1422</v>
      </c>
      <c r="J51">
        <v>1371</v>
      </c>
      <c r="K51">
        <v>1311</v>
      </c>
      <c r="L51">
        <v>1459</v>
      </c>
      <c r="M51">
        <v>1422</v>
      </c>
      <c r="N51">
        <v>1252</v>
      </c>
      <c r="O51">
        <f t="shared" si="2"/>
        <v>1391.4</v>
      </c>
      <c r="P51">
        <f t="shared" si="3"/>
        <v>3642408.3769633509</v>
      </c>
      <c r="Q51" s="11">
        <f t="shared" si="14"/>
        <v>67.675992789171545</v>
      </c>
      <c r="R51" s="11">
        <f t="shared" si="15"/>
        <v>4.8638775901373825E-2</v>
      </c>
      <c r="S51">
        <f t="shared" si="5"/>
        <v>3642408.3769633509</v>
      </c>
      <c r="T51">
        <f t="shared" si="4"/>
        <v>3642408.3769633509</v>
      </c>
    </row>
    <row r="52" spans="1:23" ht="16" x14ac:dyDescent="0.4">
      <c r="A52" s="10" t="s">
        <v>72</v>
      </c>
      <c r="B52" s="10" t="s">
        <v>135</v>
      </c>
      <c r="C52" s="10" t="s">
        <v>138</v>
      </c>
      <c r="D52" s="10" t="s">
        <v>135</v>
      </c>
      <c r="E52">
        <v>1237</v>
      </c>
      <c r="F52">
        <v>1190</v>
      </c>
      <c r="G52">
        <v>1193</v>
      </c>
      <c r="H52">
        <v>1191</v>
      </c>
      <c r="I52">
        <v>1185</v>
      </c>
      <c r="J52">
        <v>1215</v>
      </c>
      <c r="K52">
        <v>1221</v>
      </c>
      <c r="L52">
        <v>1177</v>
      </c>
      <c r="M52">
        <v>1200</v>
      </c>
      <c r="N52">
        <v>1271</v>
      </c>
      <c r="O52">
        <f t="shared" si="2"/>
        <v>1208</v>
      </c>
      <c r="P52">
        <f t="shared" si="3"/>
        <v>3162303.6649214658</v>
      </c>
      <c r="Q52" s="11">
        <f t="shared" ref="Q52:Q61" si="16">_xlfn.STDEV.P(E52:N52)</f>
        <v>27.239676943752471</v>
      </c>
      <c r="R52" s="11">
        <f t="shared" ref="R52:R61" si="17">Q52/O52</f>
        <v>2.2549401443503703E-2</v>
      </c>
      <c r="S52">
        <f t="shared" si="5"/>
        <v>3162303.6649214658</v>
      </c>
      <c r="T52">
        <f t="shared" si="4"/>
        <v>3162303.6649214658</v>
      </c>
    </row>
    <row r="53" spans="1:23" ht="16" x14ac:dyDescent="0.4">
      <c r="A53" s="10" t="s">
        <v>73</v>
      </c>
      <c r="B53" s="10" t="s">
        <v>135</v>
      </c>
      <c r="C53" s="10" t="s">
        <v>138</v>
      </c>
      <c r="D53" s="10" t="s">
        <v>135</v>
      </c>
      <c r="E53">
        <v>1190</v>
      </c>
      <c r="F53">
        <v>1153</v>
      </c>
      <c r="G53">
        <v>1159</v>
      </c>
      <c r="H53">
        <v>1129</v>
      </c>
      <c r="I53">
        <v>1177</v>
      </c>
      <c r="J53">
        <v>1112</v>
      </c>
      <c r="K53">
        <v>1193</v>
      </c>
      <c r="L53">
        <v>1155</v>
      </c>
      <c r="M53">
        <v>1170</v>
      </c>
      <c r="N53">
        <v>1110</v>
      </c>
      <c r="O53">
        <f t="shared" si="2"/>
        <v>1154.8</v>
      </c>
      <c r="P53">
        <f t="shared" si="3"/>
        <v>3023036.6492146594</v>
      </c>
      <c r="Q53" s="11">
        <f t="shared" si="16"/>
        <v>28.191488077077448</v>
      </c>
      <c r="R53" s="11">
        <f t="shared" si="17"/>
        <v>2.4412442048040741E-2</v>
      </c>
      <c r="S53">
        <f t="shared" si="5"/>
        <v>3023036.6492146594</v>
      </c>
      <c r="T53">
        <f t="shared" si="4"/>
        <v>3023036.6492146594</v>
      </c>
    </row>
    <row r="54" spans="1:23" ht="16" x14ac:dyDescent="0.4">
      <c r="A54" s="10" t="s">
        <v>74</v>
      </c>
      <c r="B54" s="10" t="s">
        <v>135</v>
      </c>
      <c r="C54" s="10" t="s">
        <v>138</v>
      </c>
      <c r="D54" s="10" t="s">
        <v>135</v>
      </c>
      <c r="E54">
        <v>1139</v>
      </c>
      <c r="F54">
        <v>1150</v>
      </c>
      <c r="G54">
        <v>1174</v>
      </c>
      <c r="H54">
        <v>1176</v>
      </c>
      <c r="I54">
        <v>1149</v>
      </c>
      <c r="J54">
        <v>1140</v>
      </c>
      <c r="K54">
        <v>1176</v>
      </c>
      <c r="L54">
        <v>1186</v>
      </c>
      <c r="M54">
        <v>1136</v>
      </c>
      <c r="N54">
        <v>1171</v>
      </c>
      <c r="O54">
        <f t="shared" si="2"/>
        <v>1159.7</v>
      </c>
      <c r="P54">
        <f t="shared" si="3"/>
        <v>3035863.8743455498</v>
      </c>
      <c r="Q54" s="11">
        <f t="shared" si="16"/>
        <v>17.72596964907703</v>
      </c>
      <c r="R54" s="11">
        <f t="shared" si="17"/>
        <v>1.5284961325409182E-2</v>
      </c>
      <c r="S54">
        <f t="shared" si="5"/>
        <v>3035863.8743455498</v>
      </c>
      <c r="T54">
        <f t="shared" si="4"/>
        <v>3035863.8743455498</v>
      </c>
    </row>
    <row r="55" spans="1:23" ht="16" x14ac:dyDescent="0.4">
      <c r="A55" s="10" t="s">
        <v>75</v>
      </c>
      <c r="B55" s="10" t="s">
        <v>135</v>
      </c>
      <c r="C55" s="10" t="s">
        <v>138</v>
      </c>
      <c r="D55" s="10" t="s">
        <v>135</v>
      </c>
      <c r="E55">
        <v>1146</v>
      </c>
      <c r="F55">
        <v>1167</v>
      </c>
      <c r="G55">
        <v>1144</v>
      </c>
      <c r="H55">
        <v>1129</v>
      </c>
      <c r="I55">
        <v>1146</v>
      </c>
      <c r="J55">
        <v>1119</v>
      </c>
      <c r="K55">
        <v>1147</v>
      </c>
      <c r="L55">
        <v>1166</v>
      </c>
      <c r="M55">
        <v>1149</v>
      </c>
      <c r="N55">
        <v>1132</v>
      </c>
      <c r="O55">
        <f t="shared" si="2"/>
        <v>1144.5</v>
      </c>
      <c r="P55">
        <f t="shared" si="3"/>
        <v>2996073.2984293192</v>
      </c>
      <c r="Q55" s="11">
        <f t="shared" si="16"/>
        <v>14.305593311708536</v>
      </c>
      <c r="R55" s="11">
        <f t="shared" si="17"/>
        <v>1.2499426222550054E-2</v>
      </c>
      <c r="S55">
        <f t="shared" si="5"/>
        <v>2996073.2984293192</v>
      </c>
      <c r="T55">
        <f t="shared" si="4"/>
        <v>2996073.2984293192</v>
      </c>
    </row>
    <row r="56" spans="1:23" ht="16" x14ac:dyDescent="0.4">
      <c r="A56" s="10" t="s">
        <v>76</v>
      </c>
      <c r="B56" s="10" t="s">
        <v>135</v>
      </c>
      <c r="C56" s="10" t="s">
        <v>138</v>
      </c>
      <c r="D56" s="10" t="s">
        <v>135</v>
      </c>
      <c r="E56">
        <v>1338</v>
      </c>
      <c r="F56">
        <v>1437</v>
      </c>
      <c r="G56">
        <v>1331</v>
      </c>
      <c r="H56">
        <v>1401</v>
      </c>
      <c r="I56">
        <v>1432</v>
      </c>
      <c r="J56">
        <v>1451</v>
      </c>
      <c r="K56">
        <v>1281</v>
      </c>
      <c r="L56">
        <v>1387</v>
      </c>
      <c r="M56">
        <v>1441</v>
      </c>
      <c r="N56">
        <v>1400</v>
      </c>
      <c r="O56">
        <f t="shared" si="2"/>
        <v>1389.9</v>
      </c>
      <c r="P56">
        <f t="shared" si="3"/>
        <v>3638481.6753926701</v>
      </c>
      <c r="Q56" s="11">
        <f t="shared" si="16"/>
        <v>53.470459133992854</v>
      </c>
      <c r="R56" s="11">
        <f t="shared" si="17"/>
        <v>3.8470723889483312E-2</v>
      </c>
      <c r="S56">
        <f t="shared" si="5"/>
        <v>3638481.6753926701</v>
      </c>
      <c r="T56">
        <f t="shared" si="4"/>
        <v>3638481.6753926701</v>
      </c>
    </row>
    <row r="57" spans="1:23" ht="16" x14ac:dyDescent="0.4">
      <c r="A57" s="10" t="s">
        <v>77</v>
      </c>
      <c r="B57" s="10" t="s">
        <v>135</v>
      </c>
      <c r="C57" s="10" t="s">
        <v>138</v>
      </c>
      <c r="D57" s="10" t="s">
        <v>135</v>
      </c>
      <c r="E57">
        <v>1191</v>
      </c>
      <c r="F57">
        <v>1188</v>
      </c>
      <c r="G57">
        <v>1100</v>
      </c>
      <c r="H57">
        <v>1277</v>
      </c>
      <c r="I57">
        <v>1227</v>
      </c>
      <c r="J57">
        <v>1234</v>
      </c>
      <c r="K57">
        <v>1242</v>
      </c>
      <c r="L57">
        <v>1255</v>
      </c>
      <c r="M57">
        <v>1283</v>
      </c>
      <c r="N57">
        <v>1239</v>
      </c>
      <c r="O57">
        <f t="shared" si="2"/>
        <v>1223.5999999999999</v>
      </c>
      <c r="P57">
        <f t="shared" si="3"/>
        <v>3203141.361256544</v>
      </c>
      <c r="Q57" s="11">
        <f t="shared" si="16"/>
        <v>50.663991157428576</v>
      </c>
      <c r="R57" s="11">
        <f t="shared" si="17"/>
        <v>4.1405680906692201E-2</v>
      </c>
      <c r="S57">
        <f t="shared" si="5"/>
        <v>3203141.361256544</v>
      </c>
      <c r="T57">
        <f t="shared" si="4"/>
        <v>3203141.361256544</v>
      </c>
    </row>
    <row r="58" spans="1:23" ht="16" x14ac:dyDescent="0.4">
      <c r="A58" s="10" t="s">
        <v>78</v>
      </c>
      <c r="B58" s="10" t="s">
        <v>135</v>
      </c>
      <c r="C58" s="10" t="s">
        <v>138</v>
      </c>
      <c r="D58" s="10" t="s">
        <v>135</v>
      </c>
      <c r="E58">
        <v>1241</v>
      </c>
      <c r="F58">
        <v>1103</v>
      </c>
      <c r="G58">
        <v>1230</v>
      </c>
      <c r="H58">
        <v>1241</v>
      </c>
      <c r="I58">
        <v>1153</v>
      </c>
      <c r="J58">
        <v>1086</v>
      </c>
      <c r="K58">
        <v>1196</v>
      </c>
      <c r="L58">
        <v>1261</v>
      </c>
      <c r="M58">
        <v>1284</v>
      </c>
      <c r="N58">
        <v>1289</v>
      </c>
      <c r="O58">
        <f t="shared" si="2"/>
        <v>1208.4000000000001</v>
      </c>
      <c r="P58">
        <f t="shared" si="3"/>
        <v>3163350.7853403143</v>
      </c>
      <c r="Q58" s="11">
        <f t="shared" si="16"/>
        <v>68.472184133412895</v>
      </c>
      <c r="R58" s="11">
        <f t="shared" si="17"/>
        <v>5.6663508882334401E-2</v>
      </c>
      <c r="S58">
        <f t="shared" si="5"/>
        <v>3163350.7853403143</v>
      </c>
      <c r="T58">
        <f t="shared" si="4"/>
        <v>3163350.7853403143</v>
      </c>
    </row>
    <row r="59" spans="1:23" ht="16" x14ac:dyDescent="0.4">
      <c r="A59" s="10" t="s">
        <v>79</v>
      </c>
      <c r="B59" s="10" t="s">
        <v>135</v>
      </c>
      <c r="C59" s="10" t="s">
        <v>138</v>
      </c>
      <c r="D59" s="10" t="s">
        <v>135</v>
      </c>
      <c r="E59">
        <v>1151</v>
      </c>
      <c r="F59">
        <v>1166</v>
      </c>
      <c r="G59">
        <v>1164</v>
      </c>
      <c r="H59">
        <v>1180</v>
      </c>
      <c r="I59">
        <v>1097</v>
      </c>
      <c r="J59">
        <v>1122</v>
      </c>
      <c r="K59">
        <v>1156</v>
      </c>
      <c r="L59">
        <v>1138</v>
      </c>
      <c r="M59">
        <v>1137</v>
      </c>
      <c r="N59">
        <v>1137</v>
      </c>
      <c r="O59">
        <f t="shared" si="2"/>
        <v>1144.8</v>
      </c>
      <c r="P59">
        <f t="shared" si="3"/>
        <v>2996858.6387434551</v>
      </c>
      <c r="Q59" s="11">
        <f t="shared" si="16"/>
        <v>22.789471253190587</v>
      </c>
      <c r="R59" s="11">
        <f t="shared" si="17"/>
        <v>1.990694553912525E-2</v>
      </c>
      <c r="S59">
        <f t="shared" si="5"/>
        <v>2996858.6387434551</v>
      </c>
      <c r="T59">
        <f t="shared" si="4"/>
        <v>2996858.6387434551</v>
      </c>
    </row>
    <row r="60" spans="1:23" ht="16" x14ac:dyDescent="0.4">
      <c r="A60" s="10" t="s">
        <v>80</v>
      </c>
      <c r="B60" s="10" t="s">
        <v>135</v>
      </c>
      <c r="C60" s="10" t="s">
        <v>138</v>
      </c>
      <c r="D60" s="10" t="s">
        <v>135</v>
      </c>
      <c r="E60">
        <v>1041</v>
      </c>
      <c r="F60">
        <v>1053</v>
      </c>
      <c r="G60">
        <v>1011</v>
      </c>
      <c r="H60">
        <v>1128</v>
      </c>
      <c r="I60">
        <v>1034</v>
      </c>
      <c r="J60">
        <v>1049</v>
      </c>
      <c r="K60">
        <v>1010</v>
      </c>
      <c r="L60">
        <v>1086</v>
      </c>
      <c r="M60">
        <v>1073</v>
      </c>
      <c r="N60">
        <v>1114</v>
      </c>
      <c r="O60">
        <f t="shared" si="2"/>
        <v>1059.9000000000001</v>
      </c>
      <c r="P60">
        <f t="shared" si="3"/>
        <v>2774607.3298429321</v>
      </c>
      <c r="Q60" s="11">
        <f t="shared" si="16"/>
        <v>38.069541631072994</v>
      </c>
      <c r="R60" s="11">
        <f t="shared" si="17"/>
        <v>3.5918050411428426E-2</v>
      </c>
      <c r="S60">
        <f t="shared" si="5"/>
        <v>2774607.3298429321</v>
      </c>
      <c r="T60">
        <f t="shared" si="4"/>
        <v>2774607.3298429321</v>
      </c>
    </row>
    <row r="61" spans="1:23" ht="16" x14ac:dyDescent="0.4">
      <c r="A61" s="10" t="s">
        <v>81</v>
      </c>
      <c r="B61" s="10" t="s">
        <v>135</v>
      </c>
      <c r="C61" s="10" t="s">
        <v>138</v>
      </c>
      <c r="D61" s="10" t="s">
        <v>135</v>
      </c>
      <c r="E61">
        <f>1495</f>
        <v>1495</v>
      </c>
      <c r="F61">
        <v>1731</v>
      </c>
      <c r="G61">
        <v>1609</v>
      </c>
      <c r="H61">
        <v>1652</v>
      </c>
      <c r="I61">
        <v>1829</v>
      </c>
      <c r="J61">
        <v>1490</v>
      </c>
      <c r="K61">
        <v>2223</v>
      </c>
      <c r="L61">
        <v>1932</v>
      </c>
      <c r="M61">
        <v>1360</v>
      </c>
      <c r="N61">
        <v>1588</v>
      </c>
      <c r="O61">
        <f t="shared" si="2"/>
        <v>1690.9</v>
      </c>
      <c r="P61">
        <f t="shared" si="3"/>
        <v>4426439.7905759159</v>
      </c>
      <c r="Q61" s="11">
        <f t="shared" si="16"/>
        <v>238.53320523566524</v>
      </c>
      <c r="R61" s="11">
        <f t="shared" si="17"/>
        <v>0.14106878303605488</v>
      </c>
      <c r="S61">
        <f t="shared" si="5"/>
        <v>4426439.7905759159</v>
      </c>
      <c r="T61">
        <f>((AVERAGE(E61,F61,G61,H61,I61,J61,M61,N61))/0.000382)*1</f>
        <v>4173429.3193717278</v>
      </c>
      <c r="W61" s="21"/>
    </row>
    <row r="62" spans="1:23" ht="16" x14ac:dyDescent="0.4">
      <c r="A62" s="10" t="s">
        <v>83</v>
      </c>
      <c r="B62" s="10" t="s">
        <v>134</v>
      </c>
      <c r="C62" s="20" t="s">
        <v>137</v>
      </c>
      <c r="D62" s="10"/>
      <c r="E62">
        <v>1281</v>
      </c>
      <c r="F62">
        <v>1310</v>
      </c>
      <c r="G62">
        <v>1269</v>
      </c>
      <c r="H62">
        <v>1264</v>
      </c>
      <c r="I62">
        <v>1239</v>
      </c>
      <c r="J62">
        <v>1202</v>
      </c>
      <c r="K62">
        <v>1233</v>
      </c>
      <c r="L62">
        <v>1218</v>
      </c>
      <c r="M62">
        <v>1252</v>
      </c>
      <c r="N62">
        <v>1000</v>
      </c>
      <c r="O62">
        <f t="shared" ref="O62:O81" si="18">AVERAGE(E62:N62)</f>
        <v>1226.8</v>
      </c>
      <c r="P62">
        <f t="shared" ref="P62:P81" si="19">(O62/0.000382)*1</f>
        <v>3211518.3246073294</v>
      </c>
      <c r="Q62" s="11">
        <f t="shared" ref="Q62:Q71" si="20">_xlfn.STDEV.P(E62:N62)</f>
        <v>81.226596629429196</v>
      </c>
      <c r="R62" s="11">
        <f t="shared" ref="R62:R71" si="21">Q62/O62</f>
        <v>6.6210137454702639E-2</v>
      </c>
      <c r="S62">
        <f t="shared" si="5"/>
        <v>3211518.3246073294</v>
      </c>
      <c r="T62">
        <f t="shared" si="4"/>
        <v>3211518.3246073294</v>
      </c>
    </row>
    <row r="63" spans="1:23" ht="16" x14ac:dyDescent="0.4">
      <c r="A63" s="10" t="s">
        <v>84</v>
      </c>
      <c r="B63" s="10" t="s">
        <v>134</v>
      </c>
      <c r="C63" s="20" t="s">
        <v>137</v>
      </c>
      <c r="D63" s="10"/>
      <c r="E63">
        <v>1368</v>
      </c>
      <c r="F63">
        <v>1239</v>
      </c>
      <c r="G63">
        <v>1334</v>
      </c>
      <c r="H63">
        <v>1232</v>
      </c>
      <c r="I63">
        <v>1270</v>
      </c>
      <c r="J63">
        <v>1245</v>
      </c>
      <c r="K63">
        <v>1211</v>
      </c>
      <c r="L63">
        <v>1254</v>
      </c>
      <c r="M63">
        <v>1166</v>
      </c>
      <c r="N63">
        <v>1223</v>
      </c>
      <c r="O63">
        <f t="shared" si="18"/>
        <v>1254.2</v>
      </c>
      <c r="P63">
        <f t="shared" si="19"/>
        <v>3283246.0732984291</v>
      </c>
      <c r="Q63" s="11">
        <f t="shared" si="20"/>
        <v>55.673692171437672</v>
      </c>
      <c r="R63" s="11">
        <f t="shared" si="21"/>
        <v>4.4389803995724501E-2</v>
      </c>
      <c r="S63">
        <f t="shared" si="5"/>
        <v>3283246.0732984291</v>
      </c>
      <c r="T63">
        <f t="shared" si="4"/>
        <v>3283246.0732984291</v>
      </c>
    </row>
    <row r="64" spans="1:23" ht="16" x14ac:dyDescent="0.4">
      <c r="A64" s="10" t="s">
        <v>85</v>
      </c>
      <c r="B64" s="10" t="s">
        <v>134</v>
      </c>
      <c r="C64" s="20" t="s">
        <v>137</v>
      </c>
      <c r="D64" s="10"/>
      <c r="E64">
        <v>1329</v>
      </c>
      <c r="F64">
        <v>1279</v>
      </c>
      <c r="G64">
        <v>1271</v>
      </c>
      <c r="H64">
        <v>1273</v>
      </c>
      <c r="I64">
        <v>1267</v>
      </c>
      <c r="J64">
        <v>1261</v>
      </c>
      <c r="K64">
        <v>1274</v>
      </c>
      <c r="L64">
        <v>1280</v>
      </c>
      <c r="M64">
        <v>1278</v>
      </c>
      <c r="N64">
        <v>1275</v>
      </c>
      <c r="O64">
        <f t="shared" si="18"/>
        <v>1278.7</v>
      </c>
      <c r="P64">
        <f t="shared" si="19"/>
        <v>3347382.1989528798</v>
      </c>
      <c r="Q64" s="11">
        <f t="shared" si="20"/>
        <v>17.63547561025787</v>
      </c>
      <c r="R64" s="11">
        <f t="shared" si="21"/>
        <v>1.3791722538717346E-2</v>
      </c>
      <c r="S64">
        <f t="shared" si="5"/>
        <v>3347382.1989528798</v>
      </c>
      <c r="T64">
        <f t="shared" si="4"/>
        <v>3347382.1989528798</v>
      </c>
    </row>
    <row r="65" spans="1:23" ht="16" x14ac:dyDescent="0.4">
      <c r="A65" s="10" t="s">
        <v>86</v>
      </c>
      <c r="B65" s="10" t="s">
        <v>134</v>
      </c>
      <c r="C65" s="20" t="s">
        <v>137</v>
      </c>
      <c r="D65" s="10"/>
      <c r="E65">
        <v>1311</v>
      </c>
      <c r="F65">
        <v>1237</v>
      </c>
      <c r="G65">
        <v>1308</v>
      </c>
      <c r="H65">
        <v>1259</v>
      </c>
      <c r="I65">
        <v>1308</v>
      </c>
      <c r="J65">
        <v>1302</v>
      </c>
      <c r="K65">
        <v>1305</v>
      </c>
      <c r="L65">
        <v>1299</v>
      </c>
      <c r="M65">
        <v>1316</v>
      </c>
      <c r="N65">
        <v>1000</v>
      </c>
      <c r="O65">
        <f t="shared" si="18"/>
        <v>1264.5</v>
      </c>
      <c r="P65">
        <f t="shared" si="19"/>
        <v>3310209.4240837693</v>
      </c>
      <c r="Q65" s="11">
        <f t="shared" si="20"/>
        <v>91.42346525919919</v>
      </c>
      <c r="R65" s="11">
        <f t="shared" si="21"/>
        <v>7.2300091150019133E-2</v>
      </c>
      <c r="S65">
        <f t="shared" si="5"/>
        <v>3310209.4240837693</v>
      </c>
      <c r="T65">
        <f t="shared" si="4"/>
        <v>3310209.4240837693</v>
      </c>
    </row>
    <row r="66" spans="1:23" ht="16" x14ac:dyDescent="0.4">
      <c r="A66" s="10" t="s">
        <v>86</v>
      </c>
      <c r="B66" s="10" t="s">
        <v>134</v>
      </c>
      <c r="C66" s="20" t="s">
        <v>137</v>
      </c>
      <c r="D66" s="10"/>
      <c r="E66">
        <v>1290</v>
      </c>
      <c r="F66">
        <v>1342</v>
      </c>
      <c r="G66">
        <v>1278</v>
      </c>
      <c r="H66">
        <v>1209</v>
      </c>
      <c r="I66">
        <v>1241</v>
      </c>
      <c r="J66">
        <v>1243</v>
      </c>
      <c r="K66">
        <v>1309</v>
      </c>
      <c r="L66">
        <v>1346</v>
      </c>
      <c r="M66">
        <v>1358</v>
      </c>
      <c r="N66">
        <v>1370</v>
      </c>
      <c r="O66">
        <f t="shared" si="18"/>
        <v>1298.5999999999999</v>
      </c>
      <c r="P66">
        <f t="shared" si="19"/>
        <v>3399476.4397905758</v>
      </c>
      <c r="Q66" s="11">
        <f t="shared" si="20"/>
        <v>52.726084626112723</v>
      </c>
      <c r="R66" s="11">
        <f t="shared" si="21"/>
        <v>4.0602252137773548E-2</v>
      </c>
      <c r="S66">
        <f t="shared" si="5"/>
        <v>3399476.4397905758</v>
      </c>
      <c r="T66">
        <f t="shared" si="4"/>
        <v>3399476.4397905758</v>
      </c>
    </row>
    <row r="67" spans="1:23" ht="16" x14ac:dyDescent="0.4">
      <c r="A67" s="10" t="s">
        <v>87</v>
      </c>
      <c r="B67" s="10" t="s">
        <v>134</v>
      </c>
      <c r="C67" s="20" t="s">
        <v>137</v>
      </c>
      <c r="D67" s="10"/>
      <c r="E67">
        <v>1269</v>
      </c>
      <c r="F67">
        <v>1205</v>
      </c>
      <c r="G67">
        <v>1227</v>
      </c>
      <c r="H67">
        <v>1211</v>
      </c>
      <c r="I67">
        <v>1260</v>
      </c>
      <c r="J67">
        <v>1199</v>
      </c>
      <c r="K67">
        <v>1216</v>
      </c>
      <c r="L67">
        <v>1221</v>
      </c>
      <c r="M67">
        <v>1100</v>
      </c>
      <c r="N67">
        <v>1226</v>
      </c>
      <c r="O67">
        <f t="shared" si="18"/>
        <v>1213.4000000000001</v>
      </c>
      <c r="P67">
        <f t="shared" si="19"/>
        <v>3176439.7905759164</v>
      </c>
      <c r="Q67" s="11">
        <f t="shared" si="20"/>
        <v>43.375569160530908</v>
      </c>
      <c r="R67" s="11">
        <f t="shared" si="21"/>
        <v>3.5747131333880751E-2</v>
      </c>
      <c r="S67">
        <f t="shared" ref="S67:T81" si="22">((AVERAGE(E67:N67))/0.000382)*1</f>
        <v>3176439.7905759164</v>
      </c>
      <c r="T67">
        <f t="shared" ref="T67:T81" si="23">((AVERAGE(E67:N67))/0.000382)*1</f>
        <v>3176439.7905759164</v>
      </c>
    </row>
    <row r="68" spans="1:23" ht="16" x14ac:dyDescent="0.4">
      <c r="A68" s="10" t="s">
        <v>88</v>
      </c>
      <c r="B68" s="10" t="s">
        <v>134</v>
      </c>
      <c r="C68" s="20" t="s">
        <v>137</v>
      </c>
      <c r="D68" s="10"/>
      <c r="E68">
        <v>1357</v>
      </c>
      <c r="F68">
        <v>1395</v>
      </c>
      <c r="G68">
        <v>1454</v>
      </c>
      <c r="H68">
        <v>1276</v>
      </c>
      <c r="I68">
        <v>1504</v>
      </c>
      <c r="J68">
        <v>1457</v>
      </c>
      <c r="K68">
        <v>1251</v>
      </c>
      <c r="L68">
        <v>1365</v>
      </c>
      <c r="M68">
        <v>1447</v>
      </c>
      <c r="N68">
        <v>1385</v>
      </c>
      <c r="O68">
        <f t="shared" si="18"/>
        <v>1389.1</v>
      </c>
      <c r="P68">
        <f t="shared" si="19"/>
        <v>3636387.4345549736</v>
      </c>
      <c r="Q68" s="11">
        <f t="shared" si="20"/>
        <v>76.748224735168961</v>
      </c>
      <c r="R68" s="11">
        <f t="shared" si="21"/>
        <v>5.5250323760110118E-2</v>
      </c>
      <c r="S68">
        <f t="shared" si="22"/>
        <v>3636387.4345549736</v>
      </c>
      <c r="T68">
        <f t="shared" si="23"/>
        <v>3636387.4345549736</v>
      </c>
    </row>
    <row r="69" spans="1:23" ht="16" x14ac:dyDescent="0.4">
      <c r="A69" s="10" t="s">
        <v>89</v>
      </c>
      <c r="B69" s="10" t="s">
        <v>134</v>
      </c>
      <c r="C69" s="20" t="s">
        <v>137</v>
      </c>
      <c r="D69" s="10"/>
      <c r="E69">
        <v>1336</v>
      </c>
      <c r="F69">
        <v>1474</v>
      </c>
      <c r="G69">
        <v>1611</v>
      </c>
      <c r="H69">
        <v>1406</v>
      </c>
      <c r="I69">
        <v>1456</v>
      </c>
      <c r="J69">
        <v>1385</v>
      </c>
      <c r="K69">
        <v>1545</v>
      </c>
      <c r="L69">
        <v>1558</v>
      </c>
      <c r="M69">
        <v>1524</v>
      </c>
      <c r="N69">
        <v>1479</v>
      </c>
      <c r="O69">
        <f t="shared" si="18"/>
        <v>1477.4</v>
      </c>
      <c r="P69">
        <f t="shared" si="19"/>
        <v>3867539.2670157067</v>
      </c>
      <c r="Q69" s="11">
        <f t="shared" si="20"/>
        <v>80.739333660861973</v>
      </c>
      <c r="R69" s="11">
        <f t="shared" si="21"/>
        <v>5.4649609896346263E-2</v>
      </c>
      <c r="S69">
        <f t="shared" si="22"/>
        <v>3867539.2670157067</v>
      </c>
      <c r="T69">
        <f t="shared" si="23"/>
        <v>3867539.2670157067</v>
      </c>
    </row>
    <row r="70" spans="1:23" ht="16" x14ac:dyDescent="0.4">
      <c r="A70" s="10" t="s">
        <v>90</v>
      </c>
      <c r="B70" s="10" t="s">
        <v>134</v>
      </c>
      <c r="C70" s="20" t="s">
        <v>137</v>
      </c>
      <c r="D70" s="10"/>
      <c r="E70">
        <v>1488</v>
      </c>
      <c r="F70">
        <v>1570</v>
      </c>
      <c r="G70">
        <v>1613</v>
      </c>
      <c r="H70">
        <v>1762</v>
      </c>
      <c r="I70">
        <v>1661</v>
      </c>
      <c r="J70">
        <v>1489</v>
      </c>
      <c r="K70">
        <v>1629</v>
      </c>
      <c r="L70">
        <v>1513</v>
      </c>
      <c r="M70">
        <v>1742</v>
      </c>
      <c r="N70">
        <v>1497</v>
      </c>
      <c r="O70">
        <f t="shared" si="18"/>
        <v>1596.4</v>
      </c>
      <c r="P70">
        <f t="shared" si="19"/>
        <v>4179057.5916230367</v>
      </c>
      <c r="Q70" s="11">
        <f t="shared" si="20"/>
        <v>97.443522103832024</v>
      </c>
      <c r="R70" s="11">
        <f t="shared" si="21"/>
        <v>6.1039540280526196E-2</v>
      </c>
      <c r="S70">
        <f t="shared" si="22"/>
        <v>4179057.5916230367</v>
      </c>
      <c r="T70">
        <f t="shared" si="23"/>
        <v>4179057.5916230367</v>
      </c>
    </row>
    <row r="71" spans="1:23" ht="16" x14ac:dyDescent="0.4">
      <c r="A71" s="10" t="s">
        <v>91</v>
      </c>
      <c r="B71" s="10" t="s">
        <v>134</v>
      </c>
      <c r="C71" s="20" t="s">
        <v>137</v>
      </c>
      <c r="D71" s="10"/>
      <c r="E71">
        <v>1551</v>
      </c>
      <c r="F71">
        <v>1693</v>
      </c>
      <c r="G71">
        <v>1561</v>
      </c>
      <c r="H71">
        <v>1436</v>
      </c>
      <c r="I71">
        <v>1602</v>
      </c>
      <c r="J71">
        <v>1675</v>
      </c>
      <c r="K71">
        <v>1840</v>
      </c>
      <c r="L71">
        <v>1580</v>
      </c>
      <c r="M71">
        <v>1504</v>
      </c>
      <c r="N71">
        <v>1623</v>
      </c>
      <c r="O71">
        <f t="shared" si="18"/>
        <v>1606.5</v>
      </c>
      <c r="P71">
        <f t="shared" si="19"/>
        <v>4205497.3821989531</v>
      </c>
      <c r="Q71" s="11">
        <f t="shared" si="20"/>
        <v>106.02759074882349</v>
      </c>
      <c r="R71" s="11">
        <f t="shared" si="21"/>
        <v>6.5999122781713965E-2</v>
      </c>
      <c r="S71">
        <f t="shared" si="22"/>
        <v>4205497.3821989531</v>
      </c>
      <c r="T71">
        <f t="shared" si="23"/>
        <v>4205497.3821989531</v>
      </c>
    </row>
    <row r="72" spans="1:23" ht="16" x14ac:dyDescent="0.4">
      <c r="A72" s="10" t="s">
        <v>93</v>
      </c>
      <c r="B72" s="10" t="s">
        <v>135</v>
      </c>
      <c r="C72" s="20" t="s">
        <v>137</v>
      </c>
      <c r="D72" s="10"/>
      <c r="E72">
        <v>1289</v>
      </c>
      <c r="F72">
        <v>1309</v>
      </c>
      <c r="G72">
        <v>1303</v>
      </c>
      <c r="H72">
        <v>1345</v>
      </c>
      <c r="I72">
        <v>1397</v>
      </c>
      <c r="J72">
        <v>1353</v>
      </c>
      <c r="K72">
        <v>1338</v>
      </c>
      <c r="L72">
        <v>1291</v>
      </c>
      <c r="M72">
        <v>1303</v>
      </c>
      <c r="N72">
        <v>1349</v>
      </c>
      <c r="O72">
        <f t="shared" si="18"/>
        <v>1327.7</v>
      </c>
      <c r="P72">
        <f t="shared" si="19"/>
        <v>3475654.4502617801</v>
      </c>
      <c r="Q72" s="11">
        <f t="shared" ref="Q72:Q81" si="24">_xlfn.STDEV.P(E72:N72)</f>
        <v>32.735454785293577</v>
      </c>
      <c r="R72" s="11">
        <f t="shared" ref="R72:R81" si="25">Q72/O72</f>
        <v>2.4655761682076956E-2</v>
      </c>
      <c r="S72">
        <f t="shared" si="22"/>
        <v>3475654.4502617801</v>
      </c>
      <c r="T72">
        <f t="shared" si="23"/>
        <v>3475654.4502617801</v>
      </c>
    </row>
    <row r="73" spans="1:23" ht="16" x14ac:dyDescent="0.4">
      <c r="A73" s="10" t="s">
        <v>94</v>
      </c>
      <c r="B73" s="10" t="s">
        <v>135</v>
      </c>
      <c r="C73" s="20" t="s">
        <v>137</v>
      </c>
      <c r="D73" s="10"/>
      <c r="E73">
        <v>1270</v>
      </c>
      <c r="F73">
        <v>1275</v>
      </c>
      <c r="G73">
        <v>1278</v>
      </c>
      <c r="H73">
        <v>1277</v>
      </c>
      <c r="I73">
        <v>1276</v>
      </c>
      <c r="J73">
        <v>1300</v>
      </c>
      <c r="K73">
        <v>1284</v>
      </c>
      <c r="L73">
        <v>1257</v>
      </c>
      <c r="M73">
        <v>1298</v>
      </c>
      <c r="N73">
        <v>1270</v>
      </c>
      <c r="O73">
        <f t="shared" si="18"/>
        <v>1278.5</v>
      </c>
      <c r="P73">
        <f t="shared" si="19"/>
        <v>3346858.6387434555</v>
      </c>
      <c r="Q73" s="11">
        <f t="shared" si="24"/>
        <v>12.2494897852931</v>
      </c>
      <c r="R73" s="11">
        <f t="shared" si="25"/>
        <v>9.5811417953016037E-3</v>
      </c>
      <c r="S73">
        <f t="shared" si="22"/>
        <v>3346858.6387434555</v>
      </c>
      <c r="T73">
        <f t="shared" si="23"/>
        <v>3346858.6387434555</v>
      </c>
    </row>
    <row r="74" spans="1:23" ht="16" x14ac:dyDescent="0.4">
      <c r="A74" s="10" t="s">
        <v>95</v>
      </c>
      <c r="B74" s="10" t="s">
        <v>135</v>
      </c>
      <c r="C74" s="20" t="s">
        <v>137</v>
      </c>
      <c r="D74" s="10"/>
      <c r="E74">
        <v>1312</v>
      </c>
      <c r="F74">
        <v>1318</v>
      </c>
      <c r="G74">
        <v>1310</v>
      </c>
      <c r="H74">
        <v>1327</v>
      </c>
      <c r="I74">
        <v>1324</v>
      </c>
      <c r="J74">
        <v>1321</v>
      </c>
      <c r="K74">
        <v>1324</v>
      </c>
      <c r="L74">
        <v>1352</v>
      </c>
      <c r="M74">
        <v>1324</v>
      </c>
      <c r="N74">
        <v>1346</v>
      </c>
      <c r="O74">
        <f t="shared" si="18"/>
        <v>1325.8</v>
      </c>
      <c r="P74">
        <f t="shared" si="19"/>
        <v>3470680.6282722512</v>
      </c>
      <c r="Q74" s="11">
        <f t="shared" si="24"/>
        <v>12.765578717786358</v>
      </c>
      <c r="R74" s="11">
        <f t="shared" si="25"/>
        <v>9.6285855466785031E-3</v>
      </c>
      <c r="S74">
        <f t="shared" si="22"/>
        <v>3470680.6282722512</v>
      </c>
      <c r="T74">
        <f t="shared" si="23"/>
        <v>3470680.6282722512</v>
      </c>
    </row>
    <row r="75" spans="1:23" ht="16" x14ac:dyDescent="0.4">
      <c r="A75" s="10" t="s">
        <v>96</v>
      </c>
      <c r="B75" s="10" t="s">
        <v>135</v>
      </c>
      <c r="C75" s="20" t="s">
        <v>137</v>
      </c>
      <c r="D75" s="10"/>
      <c r="E75">
        <v>1285</v>
      </c>
      <c r="F75">
        <v>1280</v>
      </c>
      <c r="G75">
        <v>1298</v>
      </c>
      <c r="H75">
        <v>1282</v>
      </c>
      <c r="I75">
        <v>1292</v>
      </c>
      <c r="J75">
        <v>1295</v>
      </c>
      <c r="K75">
        <v>1277</v>
      </c>
      <c r="L75">
        <v>1279</v>
      </c>
      <c r="M75">
        <v>1280</v>
      </c>
      <c r="N75">
        <v>1279</v>
      </c>
      <c r="O75">
        <f t="shared" si="18"/>
        <v>1284.7</v>
      </c>
      <c r="P75">
        <f t="shared" si="19"/>
        <v>3363089.0052356021</v>
      </c>
      <c r="Q75" s="11">
        <f t="shared" si="24"/>
        <v>7.156116265125938</v>
      </c>
      <c r="R75" s="11">
        <f t="shared" si="25"/>
        <v>5.5702625244227737E-3</v>
      </c>
      <c r="S75">
        <f t="shared" si="22"/>
        <v>3363089.0052356021</v>
      </c>
      <c r="T75">
        <f t="shared" si="23"/>
        <v>3363089.0052356021</v>
      </c>
    </row>
    <row r="76" spans="1:23" ht="16" x14ac:dyDescent="0.4">
      <c r="A76" s="10" t="s">
        <v>97</v>
      </c>
      <c r="B76" s="10" t="s">
        <v>135</v>
      </c>
      <c r="C76" s="20" t="s">
        <v>137</v>
      </c>
      <c r="D76" s="10"/>
      <c r="E76">
        <v>1221</v>
      </c>
      <c r="F76">
        <v>1317</v>
      </c>
      <c r="G76">
        <v>1435</v>
      </c>
      <c r="H76">
        <v>1438</v>
      </c>
      <c r="I76">
        <v>1293</v>
      </c>
      <c r="J76">
        <v>1274</v>
      </c>
      <c r="K76">
        <v>1401</v>
      </c>
      <c r="L76">
        <v>1423</v>
      </c>
      <c r="M76">
        <v>1288</v>
      </c>
      <c r="N76">
        <v>1404</v>
      </c>
      <c r="O76">
        <f t="shared" si="18"/>
        <v>1349.4</v>
      </c>
      <c r="P76">
        <f t="shared" si="19"/>
        <v>3532460.7329842933</v>
      </c>
      <c r="Q76" s="11">
        <f t="shared" si="24"/>
        <v>75.106857210244115</v>
      </c>
      <c r="R76" s="11">
        <f t="shared" si="25"/>
        <v>5.5659446576437017E-2</v>
      </c>
      <c r="S76">
        <f t="shared" si="22"/>
        <v>3532460.7329842933</v>
      </c>
      <c r="T76">
        <f t="shared" si="23"/>
        <v>3532460.7329842933</v>
      </c>
    </row>
    <row r="77" spans="1:23" ht="16" x14ac:dyDescent="0.4">
      <c r="A77" s="10" t="s">
        <v>98</v>
      </c>
      <c r="B77" s="10" t="s">
        <v>135</v>
      </c>
      <c r="C77" s="20" t="s">
        <v>137</v>
      </c>
      <c r="D77" s="10"/>
      <c r="E77">
        <v>1659</v>
      </c>
      <c r="F77">
        <v>1830</v>
      </c>
      <c r="G77">
        <v>1600</v>
      </c>
      <c r="H77">
        <v>1709</v>
      </c>
      <c r="I77">
        <v>1699</v>
      </c>
      <c r="J77">
        <v>1461</v>
      </c>
      <c r="K77">
        <v>1585</v>
      </c>
      <c r="L77">
        <v>1736</v>
      </c>
      <c r="M77">
        <v>1650</v>
      </c>
      <c r="N77">
        <v>1799</v>
      </c>
      <c r="O77">
        <f t="shared" si="18"/>
        <v>1672.8</v>
      </c>
      <c r="P77">
        <f t="shared" si="19"/>
        <v>4379057.5916230362</v>
      </c>
      <c r="Q77" s="11">
        <f t="shared" si="24"/>
        <v>102.57075606623947</v>
      </c>
      <c r="R77" s="11">
        <f t="shared" si="25"/>
        <v>6.1316807787087202E-2</v>
      </c>
      <c r="S77">
        <f t="shared" si="22"/>
        <v>4379057.5916230362</v>
      </c>
      <c r="T77">
        <f t="shared" si="23"/>
        <v>4379057.5916230362</v>
      </c>
    </row>
    <row r="78" spans="1:23" ht="16" x14ac:dyDescent="0.4">
      <c r="A78" s="10" t="s">
        <v>99</v>
      </c>
      <c r="B78" s="10" t="s">
        <v>135</v>
      </c>
      <c r="C78" s="20" t="s">
        <v>137</v>
      </c>
      <c r="D78" s="10"/>
      <c r="E78">
        <v>1471</v>
      </c>
      <c r="F78">
        <v>1235</v>
      </c>
      <c r="G78">
        <v>1439</v>
      </c>
      <c r="H78">
        <v>1532</v>
      </c>
      <c r="I78">
        <v>1285</v>
      </c>
      <c r="J78">
        <v>1557</v>
      </c>
      <c r="K78">
        <v>1274</v>
      </c>
      <c r="L78">
        <v>1497</v>
      </c>
      <c r="M78">
        <v>1513</v>
      </c>
      <c r="N78">
        <v>1000</v>
      </c>
      <c r="O78">
        <f t="shared" si="18"/>
        <v>1380.3</v>
      </c>
      <c r="P78">
        <f t="shared" si="19"/>
        <v>3613350.7853403138</v>
      </c>
      <c r="Q78" s="11">
        <f t="shared" si="24"/>
        <v>168.3027331923044</v>
      </c>
      <c r="R78" s="11">
        <f t="shared" si="25"/>
        <v>0.12193199535775151</v>
      </c>
      <c r="S78">
        <f t="shared" si="22"/>
        <v>3613350.7853403138</v>
      </c>
      <c r="T78">
        <f>((AVERAGE(E78,F78,G78,H78,I78,J78,K78,L78,M78))/0.000382)*1</f>
        <v>3723967.4229203025</v>
      </c>
      <c r="W78" s="21"/>
    </row>
    <row r="79" spans="1:23" ht="16" x14ac:dyDescent="0.4">
      <c r="A79" s="10" t="s">
        <v>100</v>
      </c>
      <c r="B79" s="10" t="s">
        <v>135</v>
      </c>
      <c r="C79" s="20" t="s">
        <v>137</v>
      </c>
      <c r="D79" s="10"/>
      <c r="E79">
        <v>1548</v>
      </c>
      <c r="F79">
        <v>1435</v>
      </c>
      <c r="G79">
        <v>1453</v>
      </c>
      <c r="H79">
        <v>1366</v>
      </c>
      <c r="I79">
        <v>1544</v>
      </c>
      <c r="J79">
        <v>1350</v>
      </c>
      <c r="K79">
        <v>1478</v>
      </c>
      <c r="L79">
        <v>1439</v>
      </c>
      <c r="M79">
        <v>1485</v>
      </c>
      <c r="N79">
        <v>1502</v>
      </c>
      <c r="O79">
        <f t="shared" si="18"/>
        <v>1460</v>
      </c>
      <c r="P79">
        <f t="shared" si="19"/>
        <v>3821989.5287958113</v>
      </c>
      <c r="Q79" s="11">
        <f t="shared" si="24"/>
        <v>62.89992050869381</v>
      </c>
      <c r="R79" s="11">
        <f t="shared" si="25"/>
        <v>4.3082137334721785E-2</v>
      </c>
      <c r="S79">
        <f t="shared" si="22"/>
        <v>3821989.5287958113</v>
      </c>
      <c r="T79">
        <f t="shared" si="23"/>
        <v>3821989.5287958113</v>
      </c>
    </row>
    <row r="80" spans="1:23" ht="16" x14ac:dyDescent="0.4">
      <c r="A80" s="10" t="s">
        <v>101</v>
      </c>
      <c r="B80" s="10" t="s">
        <v>135</v>
      </c>
      <c r="C80" s="20" t="s">
        <v>137</v>
      </c>
      <c r="D80" s="10"/>
      <c r="E80">
        <v>1323</v>
      </c>
      <c r="F80">
        <v>1110</v>
      </c>
      <c r="G80">
        <v>1150</v>
      </c>
      <c r="H80">
        <v>1381</v>
      </c>
      <c r="I80">
        <v>1378</v>
      </c>
      <c r="J80">
        <v>1320</v>
      </c>
      <c r="K80">
        <v>1421</v>
      </c>
      <c r="L80">
        <v>1187</v>
      </c>
      <c r="M80">
        <v>1402</v>
      </c>
      <c r="N80">
        <v>1357</v>
      </c>
      <c r="O80">
        <f t="shared" si="18"/>
        <v>1302.9000000000001</v>
      </c>
      <c r="P80">
        <f t="shared" si="19"/>
        <v>3410732.984293194</v>
      </c>
      <c r="Q80" s="11">
        <f t="shared" si="24"/>
        <v>106.37335192612856</v>
      </c>
      <c r="R80" s="11">
        <f t="shared" si="25"/>
        <v>8.1643527458844539E-2</v>
      </c>
      <c r="S80">
        <f t="shared" si="22"/>
        <v>3410732.984293194</v>
      </c>
      <c r="T80">
        <f t="shared" si="23"/>
        <v>3410732.984293194</v>
      </c>
    </row>
    <row r="81" spans="1:20" ht="16" x14ac:dyDescent="0.4">
      <c r="A81" s="10" t="s">
        <v>102</v>
      </c>
      <c r="B81" s="10" t="s">
        <v>135</v>
      </c>
      <c r="C81" s="20" t="s">
        <v>137</v>
      </c>
      <c r="D81" s="10"/>
      <c r="E81">
        <v>1181</v>
      </c>
      <c r="F81">
        <v>1372</v>
      </c>
      <c r="G81">
        <v>1388</v>
      </c>
      <c r="H81">
        <v>1328</v>
      </c>
      <c r="I81">
        <v>1316</v>
      </c>
      <c r="J81">
        <v>1144</v>
      </c>
      <c r="K81">
        <v>1172</v>
      </c>
      <c r="L81">
        <v>1397</v>
      </c>
      <c r="M81">
        <v>1148</v>
      </c>
      <c r="N81">
        <v>1300</v>
      </c>
      <c r="O81">
        <f t="shared" si="18"/>
        <v>1274.5999999999999</v>
      </c>
      <c r="P81">
        <f t="shared" si="19"/>
        <v>3336649.2146596853</v>
      </c>
      <c r="Q81" s="11">
        <f t="shared" si="24"/>
        <v>97.421968775015017</v>
      </c>
      <c r="R81" s="11">
        <f t="shared" si="25"/>
        <v>7.6433366369853303E-2</v>
      </c>
      <c r="S81">
        <f t="shared" si="22"/>
        <v>3336649.2146596853</v>
      </c>
      <c r="T81">
        <f t="shared" si="23"/>
        <v>3336649.2146596853</v>
      </c>
    </row>
  </sheetData>
  <phoneticPr fontId="8" type="noConversion"/>
  <conditionalFormatting sqref="Q61">
    <cfRule type="cellIs" dxfId="2" priority="3" operator="lessThan">
      <formula>0.15</formula>
    </cfRule>
  </conditionalFormatting>
  <conditionalFormatting sqref="R2:R81">
    <cfRule type="cellIs" dxfId="1" priority="1" operator="greaterThan">
      <formula>0.15</formula>
    </cfRule>
    <cfRule type="cellIs" dxfId="0" priority="2" operator="greater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C673-2696-4A51-8179-B8B310178B9B}">
  <dimension ref="A1:W81"/>
  <sheetViews>
    <sheetView zoomScale="61" workbookViewId="0">
      <selection activeCell="D71" sqref="D71"/>
    </sheetView>
  </sheetViews>
  <sheetFormatPr defaultRowHeight="16" x14ac:dyDescent="0.35"/>
  <cols>
    <col min="1" max="1" width="11.54296875" style="23" customWidth="1"/>
    <col min="2" max="2" width="19.26953125" style="23" customWidth="1"/>
    <col min="3" max="3" width="13.81640625" style="23" customWidth="1"/>
    <col min="4" max="4" width="19.54296875" style="23" customWidth="1"/>
    <col min="5" max="5" width="8.81640625" style="30" customWidth="1"/>
    <col min="6" max="6" width="10.54296875" style="23" customWidth="1"/>
    <col min="7" max="7" width="8.7265625" style="34"/>
    <col min="8" max="8" width="10.81640625" style="23" customWidth="1"/>
    <col min="9" max="9" width="10.90625" style="23" customWidth="1"/>
    <col min="10" max="10" width="10.08984375" style="34" bestFit="1" customWidth="1"/>
    <col min="11" max="11" width="11.453125" style="23" customWidth="1"/>
    <col min="12" max="12" width="10.6328125" style="23" customWidth="1"/>
    <col min="13" max="13" width="10.36328125" style="34" customWidth="1"/>
    <col min="14" max="14" width="12.90625" style="23" customWidth="1"/>
    <col min="15" max="15" width="11.7265625" style="23" customWidth="1"/>
    <col min="16" max="16" width="11.453125" style="34" customWidth="1"/>
    <col min="17" max="17" width="12" style="23" customWidth="1"/>
    <col min="18" max="18" width="12.7265625" style="23" customWidth="1"/>
    <col min="19" max="19" width="12.36328125" style="34" customWidth="1"/>
    <col min="20" max="20" width="12.6328125" style="23" customWidth="1"/>
    <col min="21" max="21" width="12" style="23" customWidth="1"/>
    <col min="22" max="22" width="12.90625" style="34" customWidth="1"/>
    <col min="23" max="23" width="12.453125" style="23" customWidth="1"/>
  </cols>
  <sheetData>
    <row r="1" spans="1:23" ht="64" x14ac:dyDescent="0.35">
      <c r="A1" s="22" t="s">
        <v>0</v>
      </c>
      <c r="B1" s="22" t="s">
        <v>132</v>
      </c>
      <c r="C1" s="22" t="s">
        <v>136</v>
      </c>
      <c r="D1" s="22" t="s">
        <v>139</v>
      </c>
      <c r="E1" s="26" t="s">
        <v>103</v>
      </c>
      <c r="F1" s="27" t="s">
        <v>104</v>
      </c>
      <c r="G1" s="28" t="s">
        <v>105</v>
      </c>
      <c r="H1" s="29" t="s">
        <v>106</v>
      </c>
      <c r="I1" s="27" t="s">
        <v>107</v>
      </c>
      <c r="J1" s="28" t="s">
        <v>108</v>
      </c>
      <c r="K1" s="29" t="s">
        <v>109</v>
      </c>
      <c r="L1" s="27" t="s">
        <v>110</v>
      </c>
      <c r="M1" s="28" t="s">
        <v>111</v>
      </c>
      <c r="N1" s="29" t="s">
        <v>112</v>
      </c>
      <c r="O1" s="27" t="s">
        <v>113</v>
      </c>
      <c r="P1" s="28" t="s">
        <v>114</v>
      </c>
      <c r="Q1" s="29" t="s">
        <v>115</v>
      </c>
      <c r="R1" s="27" t="s">
        <v>116</v>
      </c>
      <c r="S1" s="28" t="s">
        <v>117</v>
      </c>
      <c r="T1" s="29" t="s">
        <v>118</v>
      </c>
      <c r="U1" s="27" t="s">
        <v>119</v>
      </c>
      <c r="V1" s="28" t="s">
        <v>120</v>
      </c>
      <c r="W1" s="29" t="s">
        <v>121</v>
      </c>
    </row>
    <row r="2" spans="1:23" x14ac:dyDescent="0.35">
      <c r="A2" s="23" t="s">
        <v>17</v>
      </c>
      <c r="B2" s="23" t="s">
        <v>133</v>
      </c>
      <c r="C2" s="23" t="s">
        <v>137</v>
      </c>
      <c r="E2" s="30">
        <f>AVERAGE(H2,K2,N2,Q2,T2,W2)</f>
        <v>0.50341036132955741</v>
      </c>
      <c r="F2" s="31">
        <v>84</v>
      </c>
      <c r="G2" s="32">
        <v>126</v>
      </c>
      <c r="H2" s="33">
        <f>F2/G2</f>
        <v>0.66666666666666663</v>
      </c>
      <c r="I2" s="31">
        <v>399</v>
      </c>
      <c r="J2" s="32">
        <v>714</v>
      </c>
      <c r="K2" s="33">
        <f>I2/J2</f>
        <v>0.55882352941176472</v>
      </c>
      <c r="L2" s="31">
        <v>231</v>
      </c>
      <c r="M2" s="32">
        <v>819</v>
      </c>
      <c r="N2" s="33">
        <f>L2/M2</f>
        <v>0.28205128205128205</v>
      </c>
      <c r="O2" s="31">
        <v>483</v>
      </c>
      <c r="P2" s="32">
        <v>861</v>
      </c>
      <c r="Q2" s="33">
        <f>O2/P2</f>
        <v>0.56097560975609762</v>
      </c>
      <c r="R2" s="31">
        <v>231</v>
      </c>
      <c r="S2" s="32">
        <v>483</v>
      </c>
      <c r="T2" s="33">
        <f>R2/S2</f>
        <v>0.47826086956521741</v>
      </c>
      <c r="U2" s="23">
        <v>189</v>
      </c>
      <c r="V2" s="32">
        <v>399</v>
      </c>
      <c r="W2" s="33">
        <f>U2/V2</f>
        <v>0.47368421052631576</v>
      </c>
    </row>
    <row r="3" spans="1:23" x14ac:dyDescent="0.35">
      <c r="A3" s="24" t="s">
        <v>18</v>
      </c>
      <c r="B3" s="23" t="s">
        <v>133</v>
      </c>
      <c r="C3" s="23" t="s">
        <v>137</v>
      </c>
      <c r="E3" s="30">
        <f>AVERAGE(H3,K3,N3,Q3,T3,W3)</f>
        <v>0.54483395744839402</v>
      </c>
      <c r="F3" s="31">
        <v>273</v>
      </c>
      <c r="G3" s="32">
        <v>525</v>
      </c>
      <c r="H3" s="33">
        <f t="shared" ref="H3:H66" si="0">F3/G3</f>
        <v>0.52</v>
      </c>
      <c r="I3" s="31">
        <v>441</v>
      </c>
      <c r="J3" s="32">
        <v>840</v>
      </c>
      <c r="K3" s="33">
        <f t="shared" ref="K3:K66" si="1">I3/J3</f>
        <v>0.52500000000000002</v>
      </c>
      <c r="L3" s="31">
        <v>777</v>
      </c>
      <c r="M3" s="32">
        <v>1491</v>
      </c>
      <c r="N3" s="33">
        <f t="shared" ref="N3:N66" si="2">L3/M3</f>
        <v>0.52112676056338025</v>
      </c>
      <c r="O3" s="31">
        <v>315</v>
      </c>
      <c r="P3" s="32">
        <v>672</v>
      </c>
      <c r="Q3" s="33">
        <f t="shared" ref="Q3:Q66" si="3">O3/P3</f>
        <v>0.46875</v>
      </c>
      <c r="R3" s="31">
        <v>588</v>
      </c>
      <c r="S3" s="32">
        <v>1008</v>
      </c>
      <c r="T3" s="33">
        <f t="shared" ref="T3:T66" si="4">R3/S3</f>
        <v>0.58333333333333337</v>
      </c>
      <c r="U3" s="23">
        <v>861</v>
      </c>
      <c r="V3" s="32">
        <v>1323</v>
      </c>
      <c r="W3" s="33">
        <f t="shared" ref="W3:W66" si="5">U3/V3</f>
        <v>0.65079365079365081</v>
      </c>
    </row>
    <row r="4" spans="1:23" x14ac:dyDescent="0.35">
      <c r="A4" s="24" t="s">
        <v>19</v>
      </c>
      <c r="B4" s="23" t="s">
        <v>133</v>
      </c>
      <c r="C4" s="23" t="s">
        <v>137</v>
      </c>
      <c r="E4" s="30">
        <f t="shared" ref="E4:E67" si="6">AVERAGE(H4,K4,N4,Q4,T4,W4)</f>
        <v>0.5751996186910262</v>
      </c>
      <c r="F4" s="31">
        <v>168</v>
      </c>
      <c r="G4" s="32">
        <v>273</v>
      </c>
      <c r="H4" s="33">
        <f t="shared" si="0"/>
        <v>0.61538461538461542</v>
      </c>
      <c r="I4" s="31">
        <v>189</v>
      </c>
      <c r="J4" s="32">
        <v>336</v>
      </c>
      <c r="K4" s="33">
        <f t="shared" si="1"/>
        <v>0.5625</v>
      </c>
      <c r="L4" s="31">
        <v>441</v>
      </c>
      <c r="M4" s="32">
        <v>1113</v>
      </c>
      <c r="N4" s="33">
        <f t="shared" si="2"/>
        <v>0.39622641509433965</v>
      </c>
      <c r="O4" s="31">
        <v>1218</v>
      </c>
      <c r="P4" s="32">
        <v>1890</v>
      </c>
      <c r="Q4" s="33">
        <f t="shared" si="3"/>
        <v>0.64444444444444449</v>
      </c>
      <c r="R4" s="31">
        <v>777</v>
      </c>
      <c r="S4" s="32">
        <v>1428</v>
      </c>
      <c r="T4" s="33">
        <f t="shared" si="4"/>
        <v>0.54411764705882348</v>
      </c>
      <c r="U4" s="31">
        <v>882</v>
      </c>
      <c r="V4" s="32">
        <v>1281</v>
      </c>
      <c r="W4" s="33">
        <f t="shared" si="5"/>
        <v>0.68852459016393441</v>
      </c>
    </row>
    <row r="5" spans="1:23" x14ac:dyDescent="0.35">
      <c r="A5" s="24" t="s">
        <v>20</v>
      </c>
      <c r="B5" s="23" t="s">
        <v>133</v>
      </c>
      <c r="C5" s="23" t="s">
        <v>137</v>
      </c>
      <c r="E5" s="30">
        <f t="shared" si="6"/>
        <v>0.56604197257295785</v>
      </c>
      <c r="F5" s="31">
        <v>1512</v>
      </c>
      <c r="G5" s="32">
        <v>2394</v>
      </c>
      <c r="H5" s="33">
        <f t="shared" si="0"/>
        <v>0.63157894736842102</v>
      </c>
      <c r="I5" s="31">
        <v>1460.76</v>
      </c>
      <c r="J5" s="32">
        <v>3108</v>
      </c>
      <c r="K5" s="33">
        <f t="shared" si="1"/>
        <v>0.47</v>
      </c>
      <c r="L5" s="31">
        <v>903</v>
      </c>
      <c r="M5" s="32">
        <v>3318</v>
      </c>
      <c r="N5" s="33">
        <f t="shared" si="2"/>
        <v>0.27215189873417722</v>
      </c>
      <c r="O5" s="31">
        <v>2730</v>
      </c>
      <c r="P5" s="32">
        <v>4200</v>
      </c>
      <c r="Q5" s="33">
        <f t="shared" si="3"/>
        <v>0.65</v>
      </c>
      <c r="R5" s="31">
        <v>3423</v>
      </c>
      <c r="S5" s="32">
        <v>4746</v>
      </c>
      <c r="T5" s="33">
        <f t="shared" si="4"/>
        <v>0.72123893805309736</v>
      </c>
      <c r="U5" s="23">
        <v>2667</v>
      </c>
      <c r="V5" s="32">
        <v>4095</v>
      </c>
      <c r="W5" s="33">
        <f t="shared" si="5"/>
        <v>0.6512820512820513</v>
      </c>
    </row>
    <row r="6" spans="1:23" x14ac:dyDescent="0.35">
      <c r="A6" s="24" t="s">
        <v>21</v>
      </c>
      <c r="B6" s="23" t="s">
        <v>133</v>
      </c>
      <c r="C6" s="23" t="s">
        <v>137</v>
      </c>
      <c r="E6" s="30">
        <f t="shared" si="6"/>
        <v>0.5294586432456998</v>
      </c>
      <c r="F6" s="31">
        <v>1428</v>
      </c>
      <c r="G6" s="32">
        <v>2310</v>
      </c>
      <c r="H6" s="33">
        <f t="shared" si="0"/>
        <v>0.61818181818181817</v>
      </c>
      <c r="I6" s="31">
        <v>294</v>
      </c>
      <c r="J6" s="32">
        <v>2016</v>
      </c>
      <c r="K6" s="33">
        <f t="shared" si="1"/>
        <v>0.14583333333333334</v>
      </c>
      <c r="L6" s="31">
        <v>1330</v>
      </c>
      <c r="M6" s="32">
        <v>2331</v>
      </c>
      <c r="N6" s="33">
        <f t="shared" si="2"/>
        <v>0.57057057057057059</v>
      </c>
      <c r="O6" s="31">
        <v>1610</v>
      </c>
      <c r="P6" s="32">
        <v>2555</v>
      </c>
      <c r="Q6" s="33">
        <f t="shared" si="3"/>
        <v>0.63013698630136983</v>
      </c>
      <c r="R6" s="31">
        <v>2114</v>
      </c>
      <c r="S6" s="32">
        <v>3486</v>
      </c>
      <c r="T6" s="33">
        <f t="shared" si="4"/>
        <v>0.60642570281124497</v>
      </c>
      <c r="U6" s="23">
        <v>1967</v>
      </c>
      <c r="V6" s="32">
        <v>3248</v>
      </c>
      <c r="W6" s="33">
        <f t="shared" si="5"/>
        <v>0.6056034482758621</v>
      </c>
    </row>
    <row r="7" spans="1:23" x14ac:dyDescent="0.35">
      <c r="A7" s="24" t="s">
        <v>22</v>
      </c>
      <c r="B7" s="23" t="s">
        <v>133</v>
      </c>
      <c r="C7" s="23" t="s">
        <v>137</v>
      </c>
      <c r="E7" s="30">
        <f t="shared" si="6"/>
        <v>0.5319488697178798</v>
      </c>
      <c r="F7" s="31">
        <v>105</v>
      </c>
      <c r="G7" s="32">
        <v>210</v>
      </c>
      <c r="H7" s="33">
        <f t="shared" si="0"/>
        <v>0.5</v>
      </c>
      <c r="I7" s="31">
        <v>210</v>
      </c>
      <c r="J7" s="32">
        <v>357</v>
      </c>
      <c r="K7" s="33">
        <f t="shared" si="1"/>
        <v>0.58823529411764708</v>
      </c>
      <c r="L7" s="31">
        <v>399</v>
      </c>
      <c r="M7" s="32">
        <v>861</v>
      </c>
      <c r="N7" s="33">
        <f t="shared" si="2"/>
        <v>0.46341463414634149</v>
      </c>
      <c r="O7" s="31">
        <v>483</v>
      </c>
      <c r="P7" s="32">
        <v>882</v>
      </c>
      <c r="Q7" s="33">
        <f t="shared" si="3"/>
        <v>0.54761904761904767</v>
      </c>
      <c r="R7" s="31">
        <v>273</v>
      </c>
      <c r="S7" s="32">
        <v>630</v>
      </c>
      <c r="T7" s="33">
        <f t="shared" si="4"/>
        <v>0.43333333333333335</v>
      </c>
      <c r="U7" s="23">
        <v>609</v>
      </c>
      <c r="V7" s="32">
        <v>924</v>
      </c>
      <c r="W7" s="33">
        <f t="shared" si="5"/>
        <v>0.65909090909090906</v>
      </c>
    </row>
    <row r="8" spans="1:23" x14ac:dyDescent="0.35">
      <c r="A8" s="24" t="s">
        <v>23</v>
      </c>
      <c r="B8" s="23" t="s">
        <v>133</v>
      </c>
      <c r="C8" s="23" t="s">
        <v>137</v>
      </c>
      <c r="E8" s="30">
        <f t="shared" si="6"/>
        <v>0.50510102653075983</v>
      </c>
      <c r="F8" s="31">
        <v>210</v>
      </c>
      <c r="G8" s="32">
        <v>420</v>
      </c>
      <c r="H8" s="33">
        <f t="shared" si="0"/>
        <v>0.5</v>
      </c>
      <c r="I8" s="31">
        <v>189</v>
      </c>
      <c r="J8" s="32">
        <v>504</v>
      </c>
      <c r="K8" s="33">
        <f t="shared" si="1"/>
        <v>0.375</v>
      </c>
      <c r="L8" s="31">
        <v>525</v>
      </c>
      <c r="M8" s="32">
        <v>1113</v>
      </c>
      <c r="N8" s="33">
        <f t="shared" si="2"/>
        <v>0.47169811320754718</v>
      </c>
      <c r="O8" s="31">
        <v>273</v>
      </c>
      <c r="P8" s="32">
        <v>378</v>
      </c>
      <c r="Q8" s="33">
        <f t="shared" si="3"/>
        <v>0.72222222222222221</v>
      </c>
      <c r="R8" s="31">
        <v>336</v>
      </c>
      <c r="S8" s="32">
        <v>756</v>
      </c>
      <c r="T8" s="33">
        <f t="shared" si="4"/>
        <v>0.44444444444444442</v>
      </c>
      <c r="U8" s="23">
        <v>315</v>
      </c>
      <c r="V8" s="32">
        <v>609</v>
      </c>
      <c r="W8" s="33">
        <f t="shared" si="5"/>
        <v>0.51724137931034486</v>
      </c>
    </row>
    <row r="9" spans="1:23" x14ac:dyDescent="0.35">
      <c r="A9" s="24" t="s">
        <v>24</v>
      </c>
      <c r="B9" s="23" t="s">
        <v>133</v>
      </c>
      <c r="C9" s="23" t="s">
        <v>137</v>
      </c>
      <c r="E9" s="30">
        <f t="shared" si="6"/>
        <v>0.54215325800537906</v>
      </c>
      <c r="F9" s="31">
        <v>2037</v>
      </c>
      <c r="G9" s="32">
        <v>3444</v>
      </c>
      <c r="H9" s="33">
        <f t="shared" si="0"/>
        <v>0.59146341463414631</v>
      </c>
      <c r="I9" s="31">
        <v>1344</v>
      </c>
      <c r="J9" s="32">
        <v>2310</v>
      </c>
      <c r="K9" s="33">
        <f t="shared" si="1"/>
        <v>0.58181818181818179</v>
      </c>
      <c r="L9" s="31">
        <v>1176</v>
      </c>
      <c r="M9" s="32">
        <v>2142</v>
      </c>
      <c r="N9" s="33">
        <f t="shared" si="2"/>
        <v>0.5490196078431373</v>
      </c>
      <c r="O9" s="31">
        <v>840</v>
      </c>
      <c r="P9" s="32">
        <v>1827</v>
      </c>
      <c r="Q9" s="33">
        <f t="shared" si="3"/>
        <v>0.45977011494252873</v>
      </c>
      <c r="R9" s="31">
        <v>2058</v>
      </c>
      <c r="S9" s="32">
        <v>3801</v>
      </c>
      <c r="T9" s="33">
        <f t="shared" si="4"/>
        <v>0.54143646408839774</v>
      </c>
      <c r="U9" s="23">
        <v>1323</v>
      </c>
      <c r="V9" s="34">
        <v>2499</v>
      </c>
      <c r="W9" s="33">
        <f t="shared" si="5"/>
        <v>0.52941176470588236</v>
      </c>
    </row>
    <row r="10" spans="1:23" x14ac:dyDescent="0.35">
      <c r="A10" s="24" t="s">
        <v>25</v>
      </c>
      <c r="B10" s="23" t="s">
        <v>133</v>
      </c>
      <c r="C10" s="23" t="s">
        <v>137</v>
      </c>
      <c r="E10" s="30">
        <f t="shared" si="6"/>
        <v>0.58236075615517058</v>
      </c>
      <c r="F10" s="23">
        <v>1218</v>
      </c>
      <c r="G10" s="34">
        <v>2142</v>
      </c>
      <c r="H10" s="33">
        <f t="shared" si="0"/>
        <v>0.56862745098039214</v>
      </c>
      <c r="I10" s="31">
        <v>798</v>
      </c>
      <c r="J10" s="32">
        <v>1449</v>
      </c>
      <c r="K10" s="33">
        <f t="shared" si="1"/>
        <v>0.55072463768115942</v>
      </c>
      <c r="L10" s="31">
        <v>1113</v>
      </c>
      <c r="M10" s="32">
        <v>2079</v>
      </c>
      <c r="N10" s="33">
        <f t="shared" si="2"/>
        <v>0.53535353535353536</v>
      </c>
      <c r="O10" s="31">
        <v>966</v>
      </c>
      <c r="P10" s="32">
        <v>1911</v>
      </c>
      <c r="Q10" s="33">
        <f t="shared" si="3"/>
        <v>0.50549450549450547</v>
      </c>
      <c r="R10" s="23">
        <v>1764</v>
      </c>
      <c r="S10" s="34">
        <v>2394</v>
      </c>
      <c r="T10" s="33">
        <f t="shared" si="4"/>
        <v>0.73684210526315785</v>
      </c>
      <c r="U10" s="23">
        <v>1743</v>
      </c>
      <c r="V10" s="34">
        <v>2919</v>
      </c>
      <c r="W10" s="33">
        <f t="shared" si="5"/>
        <v>0.59712230215827333</v>
      </c>
    </row>
    <row r="11" spans="1:23" x14ac:dyDescent="0.35">
      <c r="A11" s="24" t="s">
        <v>26</v>
      </c>
      <c r="B11" s="23" t="s">
        <v>133</v>
      </c>
      <c r="C11" s="23" t="s">
        <v>137</v>
      </c>
      <c r="E11" s="30">
        <f t="shared" si="6"/>
        <v>0.51740045053998551</v>
      </c>
      <c r="F11" s="23">
        <v>588</v>
      </c>
      <c r="G11" s="32">
        <v>1008</v>
      </c>
      <c r="H11" s="33">
        <f t="shared" si="0"/>
        <v>0.58333333333333337</v>
      </c>
      <c r="I11" s="31">
        <v>63</v>
      </c>
      <c r="J11" s="32">
        <v>126</v>
      </c>
      <c r="K11" s="33">
        <f t="shared" si="1"/>
        <v>0.5</v>
      </c>
      <c r="L11" s="31">
        <v>252</v>
      </c>
      <c r="M11" s="32">
        <v>546</v>
      </c>
      <c r="N11" s="33">
        <f t="shared" si="2"/>
        <v>0.46153846153846156</v>
      </c>
      <c r="O11" s="31">
        <v>168</v>
      </c>
      <c r="P11" s="32">
        <v>378</v>
      </c>
      <c r="Q11" s="33">
        <f t="shared" si="3"/>
        <v>0.44444444444444442</v>
      </c>
      <c r="R11" s="31">
        <v>567</v>
      </c>
      <c r="S11" s="32">
        <v>903</v>
      </c>
      <c r="T11" s="33">
        <f t="shared" si="4"/>
        <v>0.62790697674418605</v>
      </c>
      <c r="U11" s="23">
        <v>399</v>
      </c>
      <c r="V11" s="32">
        <v>819</v>
      </c>
      <c r="W11" s="33">
        <f t="shared" si="5"/>
        <v>0.48717948717948717</v>
      </c>
    </row>
    <row r="12" spans="1:23" x14ac:dyDescent="0.35">
      <c r="A12" s="25" t="s">
        <v>28</v>
      </c>
      <c r="B12" s="23" t="s">
        <v>133</v>
      </c>
      <c r="C12" s="23" t="s">
        <v>138</v>
      </c>
      <c r="D12" s="23" t="s">
        <v>27</v>
      </c>
      <c r="E12" s="30">
        <f t="shared" si="6"/>
        <v>0.52414274888699441</v>
      </c>
      <c r="F12" s="31">
        <v>147</v>
      </c>
      <c r="G12" s="32">
        <v>357</v>
      </c>
      <c r="H12" s="33">
        <f t="shared" si="0"/>
        <v>0.41176470588235292</v>
      </c>
      <c r="I12" s="31">
        <v>105</v>
      </c>
      <c r="J12" s="32">
        <v>210</v>
      </c>
      <c r="K12" s="33">
        <f t="shared" si="1"/>
        <v>0.5</v>
      </c>
      <c r="L12" s="31">
        <v>378</v>
      </c>
      <c r="M12" s="32">
        <v>483</v>
      </c>
      <c r="N12" s="33">
        <f t="shared" si="2"/>
        <v>0.78260869565217395</v>
      </c>
      <c r="O12" s="31">
        <v>210</v>
      </c>
      <c r="P12" s="32">
        <v>504</v>
      </c>
      <c r="Q12" s="33">
        <f t="shared" si="3"/>
        <v>0.41666666666666669</v>
      </c>
      <c r="R12" s="31">
        <v>525</v>
      </c>
      <c r="S12" s="32">
        <v>945</v>
      </c>
      <c r="T12" s="33">
        <f t="shared" si="4"/>
        <v>0.55555555555555558</v>
      </c>
      <c r="U12" s="23">
        <v>231</v>
      </c>
      <c r="V12" s="32">
        <v>483</v>
      </c>
      <c r="W12" s="33">
        <f t="shared" si="5"/>
        <v>0.47826086956521741</v>
      </c>
    </row>
    <row r="13" spans="1:23" x14ac:dyDescent="0.35">
      <c r="A13" s="25" t="s">
        <v>29</v>
      </c>
      <c r="B13" s="23" t="s">
        <v>133</v>
      </c>
      <c r="C13" s="23" t="s">
        <v>138</v>
      </c>
      <c r="D13" s="23" t="s">
        <v>27</v>
      </c>
      <c r="E13" s="30">
        <f t="shared" si="6"/>
        <v>0.52268484601817933</v>
      </c>
      <c r="F13" s="31">
        <v>103</v>
      </c>
      <c r="G13" s="32">
        <v>210</v>
      </c>
      <c r="H13" s="33">
        <f t="shared" si="0"/>
        <v>0.49047619047619045</v>
      </c>
      <c r="I13" s="31">
        <v>168</v>
      </c>
      <c r="J13" s="32">
        <v>294</v>
      </c>
      <c r="K13" s="33">
        <f t="shared" si="1"/>
        <v>0.5714285714285714</v>
      </c>
      <c r="L13" s="31">
        <v>236</v>
      </c>
      <c r="M13" s="32">
        <v>378</v>
      </c>
      <c r="N13" s="33">
        <f t="shared" si="2"/>
        <v>0.6243386243386243</v>
      </c>
      <c r="O13" s="31">
        <v>294</v>
      </c>
      <c r="P13" s="32">
        <v>525</v>
      </c>
      <c r="Q13" s="33">
        <f t="shared" si="3"/>
        <v>0.56000000000000005</v>
      </c>
      <c r="R13" s="31">
        <v>133</v>
      </c>
      <c r="S13" s="32">
        <v>315</v>
      </c>
      <c r="T13" s="33">
        <f t="shared" si="4"/>
        <v>0.42222222222222222</v>
      </c>
      <c r="U13" s="23">
        <v>383</v>
      </c>
      <c r="V13" s="32">
        <v>819</v>
      </c>
      <c r="W13" s="33">
        <f t="shared" si="5"/>
        <v>0.46764346764346765</v>
      </c>
    </row>
    <row r="14" spans="1:23" x14ac:dyDescent="0.35">
      <c r="A14" s="25" t="s">
        <v>30</v>
      </c>
      <c r="B14" s="23" t="s">
        <v>133</v>
      </c>
      <c r="C14" s="23" t="s">
        <v>138</v>
      </c>
      <c r="D14" s="23" t="s">
        <v>27</v>
      </c>
      <c r="E14" s="30">
        <f t="shared" si="6"/>
        <v>0.64925509273335358</v>
      </c>
      <c r="F14" s="31">
        <v>210</v>
      </c>
      <c r="G14" s="32">
        <v>273</v>
      </c>
      <c r="H14" s="33">
        <f t="shared" si="0"/>
        <v>0.76923076923076927</v>
      </c>
      <c r="I14" s="31">
        <v>378</v>
      </c>
      <c r="J14" s="32">
        <v>546</v>
      </c>
      <c r="K14" s="33">
        <f t="shared" si="1"/>
        <v>0.69230769230769229</v>
      </c>
      <c r="L14" s="31">
        <v>441</v>
      </c>
      <c r="M14" s="32">
        <v>693</v>
      </c>
      <c r="N14" s="33">
        <f t="shared" si="2"/>
        <v>0.63636363636363635</v>
      </c>
      <c r="O14" s="31">
        <v>315</v>
      </c>
      <c r="P14" s="32">
        <v>525</v>
      </c>
      <c r="Q14" s="33">
        <f t="shared" si="3"/>
        <v>0.6</v>
      </c>
      <c r="R14" s="31">
        <v>378</v>
      </c>
      <c r="S14" s="32">
        <v>693</v>
      </c>
      <c r="T14" s="33">
        <f t="shared" si="4"/>
        <v>0.54545454545454541</v>
      </c>
      <c r="U14" s="23">
        <v>315</v>
      </c>
      <c r="V14" s="32">
        <v>483</v>
      </c>
      <c r="W14" s="33">
        <f t="shared" si="5"/>
        <v>0.65217391304347827</v>
      </c>
    </row>
    <row r="15" spans="1:23" x14ac:dyDescent="0.35">
      <c r="A15" s="25" t="s">
        <v>31</v>
      </c>
      <c r="B15" s="23" t="s">
        <v>133</v>
      </c>
      <c r="C15" s="23" t="s">
        <v>138</v>
      </c>
      <c r="D15" s="23" t="s">
        <v>27</v>
      </c>
      <c r="E15" s="30">
        <f t="shared" si="6"/>
        <v>0.5063832922855479</v>
      </c>
      <c r="F15" s="31">
        <v>243</v>
      </c>
      <c r="G15" s="32">
        <v>420</v>
      </c>
      <c r="H15" s="33">
        <f t="shared" si="0"/>
        <v>0.57857142857142863</v>
      </c>
      <c r="I15" s="31">
        <v>147</v>
      </c>
      <c r="J15" s="32">
        <v>378</v>
      </c>
      <c r="K15" s="33">
        <f t="shared" si="1"/>
        <v>0.3888888888888889</v>
      </c>
      <c r="L15" s="31">
        <v>189</v>
      </c>
      <c r="M15" s="32">
        <v>399</v>
      </c>
      <c r="N15" s="33">
        <f t="shared" si="2"/>
        <v>0.47368421052631576</v>
      </c>
      <c r="O15" s="31">
        <v>108</v>
      </c>
      <c r="P15" s="32">
        <v>210</v>
      </c>
      <c r="Q15" s="33">
        <f t="shared" si="3"/>
        <v>0.51428571428571423</v>
      </c>
      <c r="R15" s="31">
        <v>126</v>
      </c>
      <c r="S15" s="32">
        <v>231</v>
      </c>
      <c r="T15" s="33">
        <f t="shared" si="4"/>
        <v>0.54545454545454541</v>
      </c>
      <c r="U15" s="23">
        <v>158</v>
      </c>
      <c r="V15" s="32">
        <v>294</v>
      </c>
      <c r="W15" s="33">
        <f t="shared" si="5"/>
        <v>0.5374149659863946</v>
      </c>
    </row>
    <row r="16" spans="1:23" x14ac:dyDescent="0.35">
      <c r="A16" s="25" t="s">
        <v>32</v>
      </c>
      <c r="B16" s="23" t="s">
        <v>133</v>
      </c>
      <c r="C16" s="23" t="s">
        <v>138</v>
      </c>
      <c r="D16" s="23" t="s">
        <v>27</v>
      </c>
      <c r="E16" s="30">
        <f t="shared" si="6"/>
        <v>0.52423439986791076</v>
      </c>
      <c r="F16" s="23">
        <v>483</v>
      </c>
      <c r="G16" s="32">
        <v>829.5</v>
      </c>
      <c r="H16" s="33">
        <f t="shared" si="0"/>
        <v>0.58227848101265822</v>
      </c>
      <c r="I16" s="23">
        <v>945</v>
      </c>
      <c r="J16" s="34">
        <v>2016</v>
      </c>
      <c r="K16" s="33">
        <f t="shared" si="1"/>
        <v>0.46875</v>
      </c>
      <c r="L16" s="23">
        <v>917</v>
      </c>
      <c r="M16" s="34">
        <v>2135</v>
      </c>
      <c r="N16" s="33">
        <f t="shared" si="2"/>
        <v>0.42950819672131146</v>
      </c>
      <c r="O16" s="23">
        <v>435.75</v>
      </c>
      <c r="P16" s="34">
        <v>834.75</v>
      </c>
      <c r="Q16" s="33">
        <f t="shared" si="3"/>
        <v>0.5220125786163522</v>
      </c>
      <c r="R16" s="23">
        <v>378</v>
      </c>
      <c r="S16" s="34">
        <v>588</v>
      </c>
      <c r="T16" s="33">
        <f t="shared" si="4"/>
        <v>0.6428571428571429</v>
      </c>
      <c r="U16" s="23">
        <v>413</v>
      </c>
      <c r="V16" s="34">
        <v>826</v>
      </c>
      <c r="W16" s="33">
        <f t="shared" si="5"/>
        <v>0.5</v>
      </c>
    </row>
    <row r="17" spans="1:23" x14ac:dyDescent="0.35">
      <c r="A17" s="25" t="s">
        <v>33</v>
      </c>
      <c r="B17" s="23" t="s">
        <v>133</v>
      </c>
      <c r="C17" s="23" t="s">
        <v>138</v>
      </c>
      <c r="D17" s="23" t="s">
        <v>27</v>
      </c>
      <c r="E17" s="30">
        <f t="shared" si="6"/>
        <v>0.55087198588516539</v>
      </c>
      <c r="F17" s="31">
        <v>357</v>
      </c>
      <c r="G17" s="32">
        <v>567</v>
      </c>
      <c r="H17" s="33">
        <f t="shared" si="0"/>
        <v>0.62962962962962965</v>
      </c>
      <c r="I17" s="31">
        <v>336</v>
      </c>
      <c r="J17" s="32">
        <v>609</v>
      </c>
      <c r="K17" s="33">
        <f t="shared" si="1"/>
        <v>0.55172413793103448</v>
      </c>
      <c r="L17" s="31">
        <v>210</v>
      </c>
      <c r="M17" s="32">
        <v>399</v>
      </c>
      <c r="N17" s="33">
        <f t="shared" si="2"/>
        <v>0.52631578947368418</v>
      </c>
      <c r="O17" s="31">
        <v>420</v>
      </c>
      <c r="P17" s="32">
        <v>756</v>
      </c>
      <c r="Q17" s="33">
        <f t="shared" si="3"/>
        <v>0.55555555555555558</v>
      </c>
      <c r="R17" s="31">
        <v>429</v>
      </c>
      <c r="S17" s="32">
        <v>735</v>
      </c>
      <c r="T17" s="33">
        <f t="shared" si="4"/>
        <v>0.58367346938775511</v>
      </c>
      <c r="U17" s="23">
        <v>693</v>
      </c>
      <c r="V17" s="34">
        <v>1512</v>
      </c>
      <c r="W17" s="33">
        <f t="shared" si="5"/>
        <v>0.45833333333333331</v>
      </c>
    </row>
    <row r="18" spans="1:23" x14ac:dyDescent="0.35">
      <c r="A18" s="25" t="s">
        <v>34</v>
      </c>
      <c r="B18" s="23" t="s">
        <v>133</v>
      </c>
      <c r="C18" s="23" t="s">
        <v>138</v>
      </c>
      <c r="D18" s="23" t="s">
        <v>27</v>
      </c>
      <c r="E18" s="30">
        <f t="shared" si="6"/>
        <v>0.52909496244886389</v>
      </c>
      <c r="F18" s="31">
        <v>122</v>
      </c>
      <c r="G18" s="32">
        <v>210</v>
      </c>
      <c r="H18" s="33">
        <f t="shared" si="0"/>
        <v>0.580952380952381</v>
      </c>
      <c r="I18" s="31">
        <v>607</v>
      </c>
      <c r="J18" s="32">
        <v>1050</v>
      </c>
      <c r="K18" s="33">
        <f t="shared" si="1"/>
        <v>0.57809523809523811</v>
      </c>
      <c r="L18" s="31">
        <v>247</v>
      </c>
      <c r="M18" s="32">
        <v>531</v>
      </c>
      <c r="N18" s="33">
        <f t="shared" si="2"/>
        <v>0.46516007532956688</v>
      </c>
      <c r="O18" s="31">
        <v>313</v>
      </c>
      <c r="P18" s="32">
        <v>588</v>
      </c>
      <c r="Q18" s="33">
        <f t="shared" si="3"/>
        <v>0.53231292517006801</v>
      </c>
      <c r="R18" s="31">
        <v>246</v>
      </c>
      <c r="S18" s="32">
        <v>504</v>
      </c>
      <c r="T18" s="33">
        <f t="shared" si="4"/>
        <v>0.48809523809523808</v>
      </c>
      <c r="U18" s="23">
        <v>345</v>
      </c>
      <c r="V18" s="32">
        <v>651</v>
      </c>
      <c r="W18" s="33">
        <f t="shared" si="5"/>
        <v>0.52995391705069128</v>
      </c>
    </row>
    <row r="19" spans="1:23" x14ac:dyDescent="0.35">
      <c r="A19" s="25" t="s">
        <v>35</v>
      </c>
      <c r="B19" s="23" t="s">
        <v>133</v>
      </c>
      <c r="C19" s="23" t="s">
        <v>138</v>
      </c>
      <c r="D19" s="23" t="s">
        <v>27</v>
      </c>
      <c r="E19" s="30">
        <f t="shared" si="6"/>
        <v>0.51579440103547525</v>
      </c>
      <c r="F19" s="31">
        <v>363</v>
      </c>
      <c r="G19" s="32">
        <v>710</v>
      </c>
      <c r="H19" s="33">
        <f t="shared" si="0"/>
        <v>0.5112676056338028</v>
      </c>
      <c r="I19" s="31">
        <v>338</v>
      </c>
      <c r="J19" s="32">
        <v>684</v>
      </c>
      <c r="K19" s="33">
        <f t="shared" si="1"/>
        <v>0.49415204678362573</v>
      </c>
      <c r="L19" s="31">
        <v>126</v>
      </c>
      <c r="M19" s="32">
        <v>231</v>
      </c>
      <c r="N19" s="33">
        <f t="shared" si="2"/>
        <v>0.54545454545454541</v>
      </c>
      <c r="O19" s="31">
        <v>254</v>
      </c>
      <c r="P19" s="32">
        <v>504</v>
      </c>
      <c r="Q19" s="33">
        <f t="shared" si="3"/>
        <v>0.50396825396825395</v>
      </c>
      <c r="R19" s="31">
        <v>284</v>
      </c>
      <c r="S19" s="32">
        <v>526</v>
      </c>
      <c r="T19" s="33">
        <f t="shared" si="4"/>
        <v>0.53992395437262353</v>
      </c>
      <c r="U19" s="23">
        <v>315</v>
      </c>
      <c r="V19" s="32">
        <v>630</v>
      </c>
      <c r="W19" s="33">
        <f t="shared" si="5"/>
        <v>0.5</v>
      </c>
    </row>
    <row r="20" spans="1:23" x14ac:dyDescent="0.35">
      <c r="A20" s="25" t="s">
        <v>36</v>
      </c>
      <c r="B20" s="23" t="s">
        <v>133</v>
      </c>
      <c r="C20" s="23" t="s">
        <v>138</v>
      </c>
      <c r="D20" s="23" t="s">
        <v>27</v>
      </c>
      <c r="E20" s="30">
        <f t="shared" si="6"/>
        <v>0.50661375661375663</v>
      </c>
      <c r="F20" s="31">
        <v>378</v>
      </c>
      <c r="G20" s="32">
        <v>756</v>
      </c>
      <c r="H20" s="33">
        <f t="shared" si="0"/>
        <v>0.5</v>
      </c>
      <c r="I20" s="31">
        <v>420</v>
      </c>
      <c r="J20" s="32">
        <v>840</v>
      </c>
      <c r="K20" s="33">
        <f t="shared" si="1"/>
        <v>0.5</v>
      </c>
      <c r="L20" s="31">
        <v>378</v>
      </c>
      <c r="M20" s="32">
        <v>567</v>
      </c>
      <c r="N20" s="33">
        <f t="shared" si="2"/>
        <v>0.66666666666666663</v>
      </c>
      <c r="O20" s="31">
        <v>42</v>
      </c>
      <c r="P20" s="32">
        <v>84</v>
      </c>
      <c r="Q20" s="33">
        <f t="shared" si="3"/>
        <v>0.5</v>
      </c>
      <c r="R20" s="31">
        <v>63</v>
      </c>
      <c r="S20" s="32">
        <v>147</v>
      </c>
      <c r="T20" s="33">
        <f t="shared" si="4"/>
        <v>0.42857142857142855</v>
      </c>
      <c r="U20" s="23">
        <v>84</v>
      </c>
      <c r="V20" s="32">
        <v>189</v>
      </c>
      <c r="W20" s="33">
        <f t="shared" si="5"/>
        <v>0.44444444444444442</v>
      </c>
    </row>
    <row r="21" spans="1:23" x14ac:dyDescent="0.35">
      <c r="A21" s="25" t="s">
        <v>37</v>
      </c>
      <c r="B21" s="23" t="s">
        <v>133</v>
      </c>
      <c r="C21" s="23" t="s">
        <v>138</v>
      </c>
      <c r="D21" s="23" t="s">
        <v>27</v>
      </c>
      <c r="E21" s="30">
        <f t="shared" si="6"/>
        <v>0.54726317724268136</v>
      </c>
      <c r="F21" s="31">
        <v>341</v>
      </c>
      <c r="G21" s="32">
        <v>647</v>
      </c>
      <c r="H21" s="33">
        <f t="shared" si="0"/>
        <v>0.52704791344667701</v>
      </c>
      <c r="I21" s="31">
        <v>294</v>
      </c>
      <c r="J21" s="34">
        <v>539</v>
      </c>
      <c r="K21" s="33">
        <f t="shared" si="1"/>
        <v>0.54545454545454541</v>
      </c>
      <c r="L21" s="31">
        <v>147</v>
      </c>
      <c r="M21" s="32">
        <v>315</v>
      </c>
      <c r="N21" s="33">
        <f t="shared" si="2"/>
        <v>0.46666666666666667</v>
      </c>
      <c r="O21" s="31">
        <v>126</v>
      </c>
      <c r="P21" s="32">
        <v>210</v>
      </c>
      <c r="Q21" s="33">
        <f t="shared" si="3"/>
        <v>0.6</v>
      </c>
      <c r="R21" s="31">
        <v>315</v>
      </c>
      <c r="S21" s="32">
        <v>588</v>
      </c>
      <c r="T21" s="33">
        <f t="shared" si="4"/>
        <v>0.5357142857142857</v>
      </c>
      <c r="U21" s="23">
        <v>588</v>
      </c>
      <c r="V21" s="34">
        <v>966</v>
      </c>
      <c r="W21" s="33">
        <f t="shared" si="5"/>
        <v>0.60869565217391308</v>
      </c>
    </row>
    <row r="22" spans="1:23" x14ac:dyDescent="0.35">
      <c r="A22" s="23" t="s">
        <v>39</v>
      </c>
      <c r="B22" s="23" t="s">
        <v>133</v>
      </c>
      <c r="C22" s="23" t="s">
        <v>138</v>
      </c>
      <c r="D22" s="23" t="s">
        <v>38</v>
      </c>
      <c r="E22" s="30">
        <f t="shared" si="6"/>
        <v>0.52629551820728293</v>
      </c>
      <c r="F22" s="23">
        <v>273</v>
      </c>
      <c r="G22" s="35">
        <v>504</v>
      </c>
      <c r="H22" s="33">
        <f t="shared" si="0"/>
        <v>0.54166666666666663</v>
      </c>
      <c r="I22" s="23">
        <v>336</v>
      </c>
      <c r="J22" s="35">
        <v>756</v>
      </c>
      <c r="K22" s="33">
        <f t="shared" si="1"/>
        <v>0.44444444444444442</v>
      </c>
      <c r="L22" s="23">
        <v>405</v>
      </c>
      <c r="M22" s="35">
        <v>714</v>
      </c>
      <c r="N22" s="33">
        <f t="shared" si="2"/>
        <v>0.5672268907563025</v>
      </c>
      <c r="O22" s="23">
        <v>231</v>
      </c>
      <c r="P22" s="35">
        <v>441</v>
      </c>
      <c r="Q22" s="33">
        <f t="shared" si="3"/>
        <v>0.52380952380952384</v>
      </c>
      <c r="R22" s="23">
        <v>604</v>
      </c>
      <c r="S22" s="35">
        <v>1071</v>
      </c>
      <c r="T22" s="33">
        <f t="shared" si="4"/>
        <v>0.56395891690009337</v>
      </c>
      <c r="U22" s="23">
        <v>651</v>
      </c>
      <c r="V22" s="35">
        <v>1260</v>
      </c>
      <c r="W22" s="33">
        <f t="shared" si="5"/>
        <v>0.51666666666666672</v>
      </c>
    </row>
    <row r="23" spans="1:23" x14ac:dyDescent="0.35">
      <c r="A23" s="23" t="s">
        <v>40</v>
      </c>
      <c r="B23" s="23" t="s">
        <v>133</v>
      </c>
      <c r="C23" s="23" t="s">
        <v>138</v>
      </c>
      <c r="D23" s="23" t="s">
        <v>38</v>
      </c>
      <c r="E23" s="30">
        <f t="shared" si="6"/>
        <v>0.64225509658300795</v>
      </c>
      <c r="F23" s="23">
        <v>685</v>
      </c>
      <c r="G23" s="35">
        <v>1134</v>
      </c>
      <c r="H23" s="33">
        <f t="shared" si="0"/>
        <v>0.60405643738977077</v>
      </c>
      <c r="I23" s="23">
        <v>749</v>
      </c>
      <c r="J23" s="35">
        <v>1176</v>
      </c>
      <c r="K23" s="33">
        <f t="shared" si="1"/>
        <v>0.63690476190476186</v>
      </c>
      <c r="L23" s="23">
        <v>629</v>
      </c>
      <c r="M23" s="35">
        <v>987</v>
      </c>
      <c r="N23" s="33">
        <f t="shared" si="2"/>
        <v>0.63728470111448832</v>
      </c>
      <c r="O23" s="23">
        <v>623</v>
      </c>
      <c r="P23" s="35">
        <v>966</v>
      </c>
      <c r="Q23" s="33">
        <f t="shared" si="3"/>
        <v>0.64492753623188404</v>
      </c>
      <c r="R23" s="23">
        <v>483</v>
      </c>
      <c r="S23" s="35">
        <v>756</v>
      </c>
      <c r="T23" s="33">
        <f t="shared" si="4"/>
        <v>0.63888888888888884</v>
      </c>
      <c r="U23" s="23">
        <v>697</v>
      </c>
      <c r="V23" s="35">
        <v>1008</v>
      </c>
      <c r="W23" s="33">
        <f t="shared" si="5"/>
        <v>0.69146825396825395</v>
      </c>
    </row>
    <row r="24" spans="1:23" x14ac:dyDescent="0.35">
      <c r="A24" s="23" t="s">
        <v>41</v>
      </c>
      <c r="B24" s="23" t="s">
        <v>133</v>
      </c>
      <c r="C24" s="23" t="s">
        <v>138</v>
      </c>
      <c r="D24" s="23" t="s">
        <v>38</v>
      </c>
      <c r="E24" s="30">
        <f t="shared" si="6"/>
        <v>0.54321943045133636</v>
      </c>
      <c r="F24" s="23">
        <v>273</v>
      </c>
      <c r="G24" s="35">
        <v>462</v>
      </c>
      <c r="H24" s="33">
        <f t="shared" si="0"/>
        <v>0.59090909090909094</v>
      </c>
      <c r="I24" s="23">
        <v>324</v>
      </c>
      <c r="J24" s="35">
        <v>609</v>
      </c>
      <c r="K24" s="33">
        <f t="shared" si="1"/>
        <v>0.53201970443349755</v>
      </c>
      <c r="L24" s="23">
        <v>621</v>
      </c>
      <c r="M24" s="35">
        <v>1071</v>
      </c>
      <c r="N24" s="33">
        <f t="shared" si="2"/>
        <v>0.57983193277310929</v>
      </c>
      <c r="O24" s="23">
        <v>525</v>
      </c>
      <c r="P24" s="35">
        <v>966</v>
      </c>
      <c r="Q24" s="33">
        <f t="shared" si="3"/>
        <v>0.54347826086956519</v>
      </c>
      <c r="R24" s="23">
        <v>756</v>
      </c>
      <c r="S24" s="35">
        <v>1302</v>
      </c>
      <c r="T24" s="33">
        <f t="shared" si="4"/>
        <v>0.58064516129032262</v>
      </c>
      <c r="U24" s="23">
        <v>672</v>
      </c>
      <c r="V24" s="35">
        <v>1554</v>
      </c>
      <c r="W24" s="33">
        <f t="shared" si="5"/>
        <v>0.43243243243243246</v>
      </c>
    </row>
    <row r="25" spans="1:23" x14ac:dyDescent="0.35">
      <c r="A25" s="23" t="s">
        <v>42</v>
      </c>
      <c r="B25" s="23" t="s">
        <v>133</v>
      </c>
      <c r="C25" s="23" t="s">
        <v>138</v>
      </c>
      <c r="D25" s="23" t="s">
        <v>38</v>
      </c>
      <c r="E25" s="30">
        <f t="shared" si="6"/>
        <v>0.52197900768960193</v>
      </c>
      <c r="F25" s="23">
        <v>437</v>
      </c>
      <c r="G25" s="35">
        <v>819</v>
      </c>
      <c r="H25" s="33">
        <f t="shared" si="0"/>
        <v>0.53357753357753357</v>
      </c>
      <c r="I25" s="23">
        <v>405</v>
      </c>
      <c r="J25" s="35">
        <v>756</v>
      </c>
      <c r="K25" s="33">
        <f t="shared" si="1"/>
        <v>0.5357142857142857</v>
      </c>
      <c r="L25" s="23">
        <v>261</v>
      </c>
      <c r="M25" s="35">
        <v>525</v>
      </c>
      <c r="N25" s="33">
        <f t="shared" si="2"/>
        <v>0.49714285714285716</v>
      </c>
      <c r="O25" s="23">
        <v>515</v>
      </c>
      <c r="P25" s="35">
        <v>924</v>
      </c>
      <c r="Q25" s="33">
        <f t="shared" si="3"/>
        <v>0.55735930735930739</v>
      </c>
      <c r="R25" s="23">
        <v>458</v>
      </c>
      <c r="S25" s="35">
        <v>903</v>
      </c>
      <c r="T25" s="33">
        <f t="shared" si="4"/>
        <v>0.50719822812846072</v>
      </c>
      <c r="U25" s="23">
        <v>568</v>
      </c>
      <c r="V25" s="35">
        <v>1134</v>
      </c>
      <c r="W25" s="33">
        <f t="shared" si="5"/>
        <v>0.50088183421516752</v>
      </c>
    </row>
    <row r="26" spans="1:23" x14ac:dyDescent="0.35">
      <c r="A26" s="23" t="s">
        <v>43</v>
      </c>
      <c r="B26" s="23" t="s">
        <v>133</v>
      </c>
      <c r="C26" s="23" t="s">
        <v>138</v>
      </c>
      <c r="D26" s="23" t="s">
        <v>38</v>
      </c>
      <c r="E26" s="30">
        <f t="shared" si="6"/>
        <v>0.50598472239249126</v>
      </c>
      <c r="F26" s="23">
        <v>273</v>
      </c>
      <c r="G26" s="35">
        <v>504</v>
      </c>
      <c r="H26" s="33">
        <f t="shared" si="0"/>
        <v>0.54166666666666663</v>
      </c>
      <c r="I26" s="23">
        <v>609</v>
      </c>
      <c r="J26" s="34">
        <v>1197</v>
      </c>
      <c r="K26" s="33">
        <f t="shared" si="1"/>
        <v>0.50877192982456143</v>
      </c>
      <c r="L26" s="23">
        <v>399</v>
      </c>
      <c r="M26" s="35">
        <v>777</v>
      </c>
      <c r="N26" s="33">
        <f t="shared" si="2"/>
        <v>0.51351351351351349</v>
      </c>
      <c r="O26" s="23">
        <v>210</v>
      </c>
      <c r="P26" s="35">
        <v>357</v>
      </c>
      <c r="Q26" s="33">
        <f t="shared" si="3"/>
        <v>0.58823529411764708</v>
      </c>
      <c r="R26" s="23">
        <v>336</v>
      </c>
      <c r="S26" s="35">
        <v>672</v>
      </c>
      <c r="T26" s="33">
        <f t="shared" si="4"/>
        <v>0.5</v>
      </c>
      <c r="U26" s="23">
        <v>693</v>
      </c>
      <c r="V26" s="34">
        <v>1806</v>
      </c>
      <c r="W26" s="33">
        <f t="shared" si="5"/>
        <v>0.38372093023255816</v>
      </c>
    </row>
    <row r="27" spans="1:23" x14ac:dyDescent="0.35">
      <c r="A27" s="23" t="s">
        <v>44</v>
      </c>
      <c r="B27" s="23" t="s">
        <v>133</v>
      </c>
      <c r="C27" s="23" t="s">
        <v>138</v>
      </c>
      <c r="D27" s="23" t="s">
        <v>38</v>
      </c>
      <c r="E27" s="30">
        <f t="shared" si="6"/>
        <v>0.54681071824185168</v>
      </c>
      <c r="F27" s="23">
        <v>228</v>
      </c>
      <c r="G27" s="35">
        <v>420</v>
      </c>
      <c r="H27" s="33">
        <f t="shared" si="0"/>
        <v>0.54285714285714282</v>
      </c>
      <c r="I27" s="23">
        <v>167</v>
      </c>
      <c r="J27" s="35">
        <v>273</v>
      </c>
      <c r="K27" s="33">
        <f t="shared" si="1"/>
        <v>0.61172161172161177</v>
      </c>
      <c r="L27" s="23">
        <v>189</v>
      </c>
      <c r="M27" s="35">
        <v>357</v>
      </c>
      <c r="N27" s="33">
        <f t="shared" si="2"/>
        <v>0.52941176470588236</v>
      </c>
      <c r="O27" s="23">
        <v>398</v>
      </c>
      <c r="P27" s="35">
        <v>840</v>
      </c>
      <c r="Q27" s="33">
        <f t="shared" si="3"/>
        <v>0.47380952380952379</v>
      </c>
      <c r="R27" s="23">
        <v>271</v>
      </c>
      <c r="S27" s="35">
        <v>504</v>
      </c>
      <c r="T27" s="33">
        <f t="shared" si="4"/>
        <v>0.53769841269841268</v>
      </c>
      <c r="U27" s="23">
        <v>504</v>
      </c>
      <c r="V27" s="35">
        <v>861</v>
      </c>
      <c r="W27" s="33">
        <f t="shared" si="5"/>
        <v>0.58536585365853655</v>
      </c>
    </row>
    <row r="28" spans="1:23" x14ac:dyDescent="0.35">
      <c r="A28" s="23" t="s">
        <v>45</v>
      </c>
      <c r="B28" s="23" t="s">
        <v>133</v>
      </c>
      <c r="C28" s="23" t="s">
        <v>138</v>
      </c>
      <c r="D28" s="23" t="s">
        <v>38</v>
      </c>
      <c r="E28" s="30">
        <f t="shared" si="6"/>
        <v>0.48619707928360906</v>
      </c>
      <c r="F28" s="23">
        <v>499</v>
      </c>
      <c r="G28" s="35">
        <v>1050</v>
      </c>
      <c r="H28" s="33">
        <f t="shared" si="0"/>
        <v>0.47523809523809524</v>
      </c>
      <c r="I28" s="23">
        <v>267</v>
      </c>
      <c r="J28" s="35">
        <v>588</v>
      </c>
      <c r="K28" s="33">
        <f t="shared" si="1"/>
        <v>0.45408163265306123</v>
      </c>
      <c r="L28" s="23">
        <v>766</v>
      </c>
      <c r="M28" s="34">
        <v>1554</v>
      </c>
      <c r="N28" s="33">
        <f t="shared" si="2"/>
        <v>0.4929214929214929</v>
      </c>
      <c r="O28" s="23">
        <v>483</v>
      </c>
      <c r="P28" s="35">
        <v>903</v>
      </c>
      <c r="Q28" s="33">
        <f t="shared" si="3"/>
        <v>0.53488372093023251</v>
      </c>
      <c r="R28" s="23">
        <v>903</v>
      </c>
      <c r="S28" s="35">
        <v>1743</v>
      </c>
      <c r="T28" s="33">
        <f t="shared" si="4"/>
        <v>0.51807228915662651</v>
      </c>
      <c r="U28" s="23">
        <v>659</v>
      </c>
      <c r="V28" s="35">
        <v>1491</v>
      </c>
      <c r="W28" s="33">
        <f t="shared" si="5"/>
        <v>0.44198524480214624</v>
      </c>
    </row>
    <row r="29" spans="1:23" x14ac:dyDescent="0.35">
      <c r="A29" s="23" t="s">
        <v>46</v>
      </c>
      <c r="B29" s="23" t="s">
        <v>133</v>
      </c>
      <c r="C29" s="23" t="s">
        <v>138</v>
      </c>
      <c r="D29" s="23" t="s">
        <v>38</v>
      </c>
      <c r="E29" s="30">
        <f t="shared" si="6"/>
        <v>0.53735165019359554</v>
      </c>
      <c r="F29" s="23">
        <v>210</v>
      </c>
      <c r="G29" s="35">
        <v>315</v>
      </c>
      <c r="H29" s="33">
        <f t="shared" si="0"/>
        <v>0.66666666666666663</v>
      </c>
      <c r="I29" s="23">
        <v>294</v>
      </c>
      <c r="J29" s="35">
        <v>504</v>
      </c>
      <c r="K29" s="33">
        <f t="shared" si="1"/>
        <v>0.58333333333333337</v>
      </c>
      <c r="L29" s="23">
        <v>399</v>
      </c>
      <c r="M29" s="35">
        <v>693</v>
      </c>
      <c r="N29" s="33">
        <f t="shared" si="2"/>
        <v>0.5757575757575758</v>
      </c>
      <c r="O29" s="23">
        <v>483</v>
      </c>
      <c r="P29" s="35">
        <v>987</v>
      </c>
      <c r="Q29" s="33">
        <f t="shared" si="3"/>
        <v>0.48936170212765956</v>
      </c>
      <c r="R29" s="23">
        <v>546</v>
      </c>
      <c r="S29" s="35">
        <v>1029</v>
      </c>
      <c r="T29" s="33">
        <f t="shared" si="4"/>
        <v>0.53061224489795922</v>
      </c>
      <c r="U29" s="23">
        <v>294</v>
      </c>
      <c r="V29" s="35">
        <v>777</v>
      </c>
      <c r="W29" s="33">
        <f t="shared" si="5"/>
        <v>0.3783783783783784</v>
      </c>
    </row>
    <row r="30" spans="1:23" x14ac:dyDescent="0.35">
      <c r="A30" s="23" t="s">
        <v>47</v>
      </c>
      <c r="B30" s="23" t="s">
        <v>133</v>
      </c>
      <c r="C30" s="23" t="s">
        <v>138</v>
      </c>
      <c r="D30" s="23" t="s">
        <v>38</v>
      </c>
      <c r="E30" s="30">
        <f t="shared" si="6"/>
        <v>0.52603252484729079</v>
      </c>
      <c r="F30" s="23">
        <v>429</v>
      </c>
      <c r="G30" s="35">
        <v>798</v>
      </c>
      <c r="H30" s="33">
        <f t="shared" si="0"/>
        <v>0.53759398496240607</v>
      </c>
      <c r="I30" s="23">
        <v>336</v>
      </c>
      <c r="J30" s="34">
        <v>643</v>
      </c>
      <c r="K30" s="33">
        <f t="shared" si="1"/>
        <v>0.52255054432348369</v>
      </c>
      <c r="L30" s="23">
        <v>298</v>
      </c>
      <c r="M30" s="34">
        <v>527</v>
      </c>
      <c r="N30" s="33">
        <f t="shared" si="2"/>
        <v>0.56546489563567359</v>
      </c>
      <c r="O30" s="23">
        <v>418</v>
      </c>
      <c r="P30" s="34">
        <v>841</v>
      </c>
      <c r="Q30" s="33">
        <f t="shared" si="3"/>
        <v>0.49702734839476814</v>
      </c>
      <c r="R30" s="23">
        <v>331</v>
      </c>
      <c r="S30" s="34">
        <v>632</v>
      </c>
      <c r="T30" s="33">
        <f t="shared" si="4"/>
        <v>0.52373417721518989</v>
      </c>
      <c r="U30" s="23">
        <v>493</v>
      </c>
      <c r="V30" s="34">
        <v>967</v>
      </c>
      <c r="W30" s="33">
        <f t="shared" si="5"/>
        <v>0.50982419855222338</v>
      </c>
    </row>
    <row r="31" spans="1:23" x14ac:dyDescent="0.35">
      <c r="A31" s="23" t="s">
        <v>48</v>
      </c>
      <c r="B31" s="23" t="s">
        <v>133</v>
      </c>
      <c r="C31" s="23" t="s">
        <v>138</v>
      </c>
      <c r="D31" s="23" t="s">
        <v>38</v>
      </c>
      <c r="E31" s="30">
        <f t="shared" si="6"/>
        <v>0.50096986493352169</v>
      </c>
      <c r="F31" s="23">
        <v>588</v>
      </c>
      <c r="G31" s="35">
        <v>1176</v>
      </c>
      <c r="H31" s="33">
        <f t="shared" si="0"/>
        <v>0.5</v>
      </c>
      <c r="I31" s="23">
        <v>896</v>
      </c>
      <c r="J31" s="34">
        <v>1827</v>
      </c>
      <c r="K31" s="33">
        <f t="shared" si="1"/>
        <v>0.49042145593869729</v>
      </c>
      <c r="L31" s="23">
        <v>1351</v>
      </c>
      <c r="M31" s="34">
        <v>2429</v>
      </c>
      <c r="N31" s="33">
        <f t="shared" si="2"/>
        <v>0.55619596541786742</v>
      </c>
      <c r="O31" s="23">
        <v>665</v>
      </c>
      <c r="P31" s="34">
        <v>1393</v>
      </c>
      <c r="Q31" s="33">
        <f t="shared" si="3"/>
        <v>0.47738693467336685</v>
      </c>
      <c r="R31" s="23">
        <v>621</v>
      </c>
      <c r="S31" s="34">
        <v>1218</v>
      </c>
      <c r="T31" s="33">
        <f t="shared" si="4"/>
        <v>0.50985221674876846</v>
      </c>
      <c r="U31" s="23">
        <v>707</v>
      </c>
      <c r="V31" s="34">
        <v>1498</v>
      </c>
      <c r="W31" s="33">
        <f t="shared" si="5"/>
        <v>0.4719626168224299</v>
      </c>
    </row>
    <row r="32" spans="1:23" x14ac:dyDescent="0.35">
      <c r="A32" s="23" t="s">
        <v>50</v>
      </c>
      <c r="B32" s="23" t="s">
        <v>133</v>
      </c>
      <c r="C32" s="23" t="s">
        <v>138</v>
      </c>
      <c r="D32" s="23" t="s">
        <v>49</v>
      </c>
      <c r="E32" s="30">
        <f t="shared" si="6"/>
        <v>0.5177777177629298</v>
      </c>
      <c r="F32" s="23">
        <v>697</v>
      </c>
      <c r="G32" s="35">
        <v>1358</v>
      </c>
      <c r="H32" s="33">
        <f t="shared" si="0"/>
        <v>0.51325478645066269</v>
      </c>
      <c r="I32" s="23">
        <v>893</v>
      </c>
      <c r="J32" s="35">
        <v>1746</v>
      </c>
      <c r="K32" s="33">
        <f t="shared" si="1"/>
        <v>0.51145475372279492</v>
      </c>
      <c r="L32" s="23">
        <v>678</v>
      </c>
      <c r="M32" s="35">
        <v>1261</v>
      </c>
      <c r="N32" s="33">
        <f t="shared" si="2"/>
        <v>0.53766851704996033</v>
      </c>
      <c r="O32" s="23">
        <v>401</v>
      </c>
      <c r="P32" s="35">
        <v>776</v>
      </c>
      <c r="Q32" s="33">
        <f t="shared" si="3"/>
        <v>0.51675257731958768</v>
      </c>
      <c r="R32" s="36">
        <v>512</v>
      </c>
      <c r="S32" s="37">
        <v>976</v>
      </c>
      <c r="T32" s="33">
        <f t="shared" si="4"/>
        <v>0.52459016393442626</v>
      </c>
      <c r="U32" s="36">
        <v>683</v>
      </c>
      <c r="V32" s="37">
        <v>1358</v>
      </c>
      <c r="W32" s="33">
        <f t="shared" si="5"/>
        <v>0.50294550810014726</v>
      </c>
    </row>
    <row r="33" spans="1:23" x14ac:dyDescent="0.35">
      <c r="A33" s="23" t="s">
        <v>51</v>
      </c>
      <c r="B33" s="23" t="s">
        <v>133</v>
      </c>
      <c r="C33" s="23" t="s">
        <v>138</v>
      </c>
      <c r="D33" s="23" t="s">
        <v>49</v>
      </c>
      <c r="E33" s="30">
        <f t="shared" si="6"/>
        <v>0.59368660378634086</v>
      </c>
      <c r="F33" s="23">
        <v>507</v>
      </c>
      <c r="G33" s="35">
        <v>873</v>
      </c>
      <c r="H33" s="33">
        <f t="shared" si="0"/>
        <v>0.58075601374570451</v>
      </c>
      <c r="I33" s="23">
        <v>816</v>
      </c>
      <c r="J33" s="35">
        <v>1358</v>
      </c>
      <c r="K33" s="33">
        <f t="shared" si="1"/>
        <v>0.60088365243004416</v>
      </c>
      <c r="L33" s="23">
        <v>1013</v>
      </c>
      <c r="M33" s="35">
        <v>1649</v>
      </c>
      <c r="N33" s="33">
        <f t="shared" si="2"/>
        <v>0.61431170406306856</v>
      </c>
      <c r="O33" s="23">
        <v>311</v>
      </c>
      <c r="P33" s="35">
        <v>533</v>
      </c>
      <c r="Q33" s="33">
        <f t="shared" si="3"/>
        <v>0.58348968105065668</v>
      </c>
      <c r="R33" s="36">
        <v>388</v>
      </c>
      <c r="S33" s="37">
        <v>679</v>
      </c>
      <c r="T33" s="33">
        <f t="shared" si="4"/>
        <v>0.5714285714285714</v>
      </c>
      <c r="U33" s="36">
        <v>978</v>
      </c>
      <c r="V33" s="37">
        <v>1600</v>
      </c>
      <c r="W33" s="33">
        <f t="shared" si="5"/>
        <v>0.61124999999999996</v>
      </c>
    </row>
    <row r="34" spans="1:23" x14ac:dyDescent="0.35">
      <c r="A34" s="23" t="s">
        <v>52</v>
      </c>
      <c r="B34" s="23" t="s">
        <v>133</v>
      </c>
      <c r="C34" s="23" t="s">
        <v>138</v>
      </c>
      <c r="D34" s="23" t="s">
        <v>49</v>
      </c>
      <c r="E34" s="30">
        <f t="shared" si="6"/>
        <v>0.6995961017993807</v>
      </c>
      <c r="F34" s="23">
        <v>617</v>
      </c>
      <c r="G34" s="35">
        <v>921</v>
      </c>
      <c r="H34" s="33">
        <f t="shared" si="0"/>
        <v>0.66992399565689464</v>
      </c>
      <c r="I34" s="23">
        <v>1243</v>
      </c>
      <c r="J34" s="35">
        <v>1697</v>
      </c>
      <c r="K34" s="33">
        <f t="shared" si="1"/>
        <v>0.73246906305244552</v>
      </c>
      <c r="L34" s="23">
        <v>925</v>
      </c>
      <c r="M34" s="35">
        <v>1309</v>
      </c>
      <c r="N34" s="33">
        <f t="shared" si="2"/>
        <v>0.70664629488158903</v>
      </c>
      <c r="O34" s="23">
        <v>684</v>
      </c>
      <c r="P34" s="35">
        <v>970</v>
      </c>
      <c r="Q34" s="33">
        <f t="shared" si="3"/>
        <v>0.70515463917525778</v>
      </c>
      <c r="R34" s="36">
        <v>713</v>
      </c>
      <c r="S34" s="37">
        <v>1018</v>
      </c>
      <c r="T34" s="33">
        <f t="shared" si="4"/>
        <v>0.70039292730844793</v>
      </c>
      <c r="U34" s="36">
        <v>530</v>
      </c>
      <c r="V34" s="37">
        <v>776</v>
      </c>
      <c r="W34" s="33">
        <f t="shared" si="5"/>
        <v>0.6829896907216495</v>
      </c>
    </row>
    <row r="35" spans="1:23" x14ac:dyDescent="0.35">
      <c r="A35" s="23" t="s">
        <v>53</v>
      </c>
      <c r="B35" s="23" t="s">
        <v>133</v>
      </c>
      <c r="C35" s="23" t="s">
        <v>138</v>
      </c>
      <c r="D35" s="23" t="s">
        <v>49</v>
      </c>
      <c r="E35" s="30">
        <f t="shared" si="6"/>
        <v>0.65115306156947084</v>
      </c>
      <c r="F35" s="23">
        <v>425</v>
      </c>
      <c r="G35" s="35">
        <v>630</v>
      </c>
      <c r="H35" s="33">
        <f t="shared" si="0"/>
        <v>0.67460317460317465</v>
      </c>
      <c r="I35" s="23">
        <v>533</v>
      </c>
      <c r="J35" s="35">
        <v>824</v>
      </c>
      <c r="K35" s="33">
        <f t="shared" si="1"/>
        <v>0.64684466019417475</v>
      </c>
      <c r="L35" s="23">
        <v>574</v>
      </c>
      <c r="M35" s="35">
        <v>776</v>
      </c>
      <c r="N35" s="33">
        <f t="shared" si="2"/>
        <v>0.73969072164948457</v>
      </c>
      <c r="O35" s="23">
        <v>676</v>
      </c>
      <c r="P35" s="35">
        <v>1067</v>
      </c>
      <c r="Q35" s="33">
        <f t="shared" si="3"/>
        <v>0.63355201499531399</v>
      </c>
      <c r="R35" s="36">
        <v>604</v>
      </c>
      <c r="S35" s="37">
        <v>1023</v>
      </c>
      <c r="T35" s="33">
        <f t="shared" si="4"/>
        <v>0.59042033235581626</v>
      </c>
      <c r="U35" s="36">
        <v>633</v>
      </c>
      <c r="V35" s="37">
        <v>1018</v>
      </c>
      <c r="W35" s="33">
        <f t="shared" si="5"/>
        <v>0.62180746561886047</v>
      </c>
    </row>
    <row r="36" spans="1:23" x14ac:dyDescent="0.35">
      <c r="A36" s="23" t="s">
        <v>54</v>
      </c>
      <c r="B36" s="23" t="s">
        <v>133</v>
      </c>
      <c r="C36" s="23" t="s">
        <v>138</v>
      </c>
      <c r="D36" s="23" t="s">
        <v>49</v>
      </c>
      <c r="E36" s="30">
        <f t="shared" si="6"/>
        <v>0.68759226874406154</v>
      </c>
      <c r="F36" s="23">
        <v>254</v>
      </c>
      <c r="G36" s="35">
        <v>368</v>
      </c>
      <c r="H36" s="33">
        <f t="shared" si="0"/>
        <v>0.69021739130434778</v>
      </c>
      <c r="I36" s="36">
        <v>279</v>
      </c>
      <c r="J36" s="37">
        <v>419</v>
      </c>
      <c r="K36" s="33">
        <f t="shared" si="1"/>
        <v>0.66587112171837703</v>
      </c>
      <c r="L36" s="36">
        <v>201</v>
      </c>
      <c r="M36" s="37">
        <v>288</v>
      </c>
      <c r="N36" s="33">
        <f t="shared" si="2"/>
        <v>0.69791666666666663</v>
      </c>
      <c r="O36" s="36">
        <v>219</v>
      </c>
      <c r="P36" s="37">
        <v>327</v>
      </c>
      <c r="Q36" s="33">
        <f t="shared" si="3"/>
        <v>0.66972477064220182</v>
      </c>
      <c r="R36" s="36">
        <v>357</v>
      </c>
      <c r="S36" s="37">
        <v>503</v>
      </c>
      <c r="T36" s="33">
        <f t="shared" si="4"/>
        <v>0.70974155069582501</v>
      </c>
      <c r="U36" s="36">
        <v>236</v>
      </c>
      <c r="V36" s="37">
        <v>341</v>
      </c>
      <c r="W36" s="33">
        <f t="shared" si="5"/>
        <v>0.6920821114369502</v>
      </c>
    </row>
    <row r="37" spans="1:23" x14ac:dyDescent="0.35">
      <c r="A37" s="23" t="s">
        <v>55</v>
      </c>
      <c r="B37" s="23" t="s">
        <v>133</v>
      </c>
      <c r="C37" s="23" t="s">
        <v>138</v>
      </c>
      <c r="D37" s="23" t="s">
        <v>49</v>
      </c>
      <c r="E37" s="30">
        <f t="shared" si="6"/>
        <v>0.48496265042005965</v>
      </c>
      <c r="F37" s="23">
        <v>252</v>
      </c>
      <c r="G37" s="35">
        <v>484</v>
      </c>
      <c r="H37" s="33">
        <f t="shared" si="0"/>
        <v>0.52066115702479343</v>
      </c>
      <c r="I37" s="36">
        <v>504</v>
      </c>
      <c r="J37" s="37">
        <v>1084</v>
      </c>
      <c r="K37" s="33">
        <f t="shared" si="1"/>
        <v>0.46494464944649444</v>
      </c>
      <c r="L37" s="36">
        <v>117</v>
      </c>
      <c r="M37" s="37">
        <v>236</v>
      </c>
      <c r="N37" s="33">
        <f t="shared" si="2"/>
        <v>0.49576271186440679</v>
      </c>
      <c r="O37" s="36">
        <v>273</v>
      </c>
      <c r="P37" s="37">
        <v>582</v>
      </c>
      <c r="Q37" s="33">
        <f t="shared" si="3"/>
        <v>0.46907216494845361</v>
      </c>
      <c r="R37" s="36">
        <v>300</v>
      </c>
      <c r="S37" s="37">
        <v>606</v>
      </c>
      <c r="T37" s="33">
        <f t="shared" si="4"/>
        <v>0.49504950495049505</v>
      </c>
      <c r="U37" s="36">
        <v>312</v>
      </c>
      <c r="V37" s="37">
        <v>672</v>
      </c>
      <c r="W37" s="33">
        <f t="shared" si="5"/>
        <v>0.4642857142857143</v>
      </c>
    </row>
    <row r="38" spans="1:23" x14ac:dyDescent="0.35">
      <c r="A38" s="23" t="s">
        <v>56</v>
      </c>
      <c r="B38" s="23" t="s">
        <v>133</v>
      </c>
      <c r="C38" s="23" t="s">
        <v>138</v>
      </c>
      <c r="D38" s="23" t="s">
        <v>49</v>
      </c>
      <c r="E38" s="30">
        <f t="shared" si="6"/>
        <v>0.47649209534406817</v>
      </c>
      <c r="F38" s="36">
        <v>301.60000000000002</v>
      </c>
      <c r="G38" s="37">
        <v>616.20000000000005</v>
      </c>
      <c r="H38" s="33">
        <f t="shared" si="0"/>
        <v>0.48945147679324896</v>
      </c>
      <c r="I38" s="36">
        <v>481</v>
      </c>
      <c r="J38" s="37">
        <v>941.2</v>
      </c>
      <c r="K38" s="33">
        <f t="shared" si="1"/>
        <v>0.51104972375690605</v>
      </c>
      <c r="L38" s="36">
        <v>283.40000000000003</v>
      </c>
      <c r="M38" s="37">
        <v>574.6</v>
      </c>
      <c r="N38" s="33">
        <f t="shared" si="2"/>
        <v>0.49321266968325794</v>
      </c>
      <c r="O38" s="36">
        <v>330.2</v>
      </c>
      <c r="P38" s="37">
        <v>746.2</v>
      </c>
      <c r="Q38" s="33">
        <f t="shared" si="3"/>
        <v>0.4425087108013937</v>
      </c>
      <c r="R38" s="36">
        <v>392.6</v>
      </c>
      <c r="S38" s="37">
        <v>821.6</v>
      </c>
      <c r="T38" s="33">
        <f t="shared" si="4"/>
        <v>0.47784810126582278</v>
      </c>
      <c r="U38" s="36">
        <v>293.8</v>
      </c>
      <c r="V38" s="37">
        <v>660.4</v>
      </c>
      <c r="W38" s="33">
        <f t="shared" si="5"/>
        <v>0.44488188976377957</v>
      </c>
    </row>
    <row r="39" spans="1:23" x14ac:dyDescent="0.35">
      <c r="A39" s="23" t="s">
        <v>57</v>
      </c>
      <c r="B39" s="23" t="s">
        <v>133</v>
      </c>
      <c r="C39" s="23" t="s">
        <v>138</v>
      </c>
      <c r="D39" s="23" t="s">
        <v>49</v>
      </c>
      <c r="E39" s="30">
        <f t="shared" si="6"/>
        <v>0.65389030633071077</v>
      </c>
      <c r="F39" s="36">
        <v>431.6</v>
      </c>
      <c r="G39" s="37">
        <v>634.4</v>
      </c>
      <c r="H39" s="33">
        <f t="shared" si="0"/>
        <v>0.68032786885245911</v>
      </c>
      <c r="I39" s="36">
        <v>395.2</v>
      </c>
      <c r="J39" s="37">
        <v>592.80000000000007</v>
      </c>
      <c r="K39" s="33">
        <f t="shared" si="1"/>
        <v>0.66666666666666652</v>
      </c>
      <c r="L39" s="36">
        <v>481</v>
      </c>
      <c r="M39" s="37">
        <v>772.2</v>
      </c>
      <c r="N39" s="33">
        <f t="shared" si="2"/>
        <v>0.62289562289562284</v>
      </c>
      <c r="O39" s="36">
        <v>512.20000000000005</v>
      </c>
      <c r="P39" s="37">
        <v>790.4</v>
      </c>
      <c r="Q39" s="33">
        <f t="shared" si="3"/>
        <v>0.64802631578947378</v>
      </c>
      <c r="R39" s="36">
        <v>392.6</v>
      </c>
      <c r="S39" s="37">
        <v>613.6</v>
      </c>
      <c r="T39" s="33">
        <f t="shared" si="4"/>
        <v>0.63983050847457623</v>
      </c>
      <c r="U39" s="36">
        <v>538.20000000000005</v>
      </c>
      <c r="V39" s="37">
        <v>808.6</v>
      </c>
      <c r="W39" s="33">
        <f t="shared" si="5"/>
        <v>0.66559485530546625</v>
      </c>
    </row>
    <row r="40" spans="1:23" x14ac:dyDescent="0.35">
      <c r="A40" s="23" t="s">
        <v>58</v>
      </c>
      <c r="B40" s="23" t="s">
        <v>133</v>
      </c>
      <c r="C40" s="23" t="s">
        <v>138</v>
      </c>
      <c r="D40" s="23" t="s">
        <v>49</v>
      </c>
      <c r="E40" s="30">
        <f t="shared" si="6"/>
        <v>0.70770670185690054</v>
      </c>
      <c r="F40" s="36">
        <v>564.20000000000005</v>
      </c>
      <c r="G40" s="37">
        <v>782.6</v>
      </c>
      <c r="H40" s="33">
        <f t="shared" si="0"/>
        <v>0.72093023255813959</v>
      </c>
      <c r="I40" s="36">
        <v>533</v>
      </c>
      <c r="J40" s="37">
        <v>725.4</v>
      </c>
      <c r="K40" s="33">
        <f t="shared" si="1"/>
        <v>0.73476702508960579</v>
      </c>
      <c r="L40" s="36">
        <v>452.40000000000003</v>
      </c>
      <c r="M40" s="37">
        <v>639.6</v>
      </c>
      <c r="N40" s="33">
        <f t="shared" si="2"/>
        <v>0.70731707317073178</v>
      </c>
      <c r="O40" s="36">
        <v>587.6</v>
      </c>
      <c r="P40" s="37">
        <v>850.2</v>
      </c>
      <c r="Q40" s="33">
        <f t="shared" si="3"/>
        <v>0.69113149847094801</v>
      </c>
      <c r="R40" s="36">
        <v>556.4</v>
      </c>
      <c r="S40" s="37">
        <v>787.80000000000007</v>
      </c>
      <c r="T40" s="33">
        <f t="shared" si="4"/>
        <v>0.70627062706270616</v>
      </c>
      <c r="U40" s="36">
        <v>465.40000000000003</v>
      </c>
      <c r="V40" s="37">
        <v>678.6</v>
      </c>
      <c r="W40" s="33">
        <f t="shared" si="5"/>
        <v>0.68582375478927204</v>
      </c>
    </row>
    <row r="41" spans="1:23" x14ac:dyDescent="0.35">
      <c r="A41" s="23" t="s">
        <v>59</v>
      </c>
      <c r="B41" s="23" t="s">
        <v>133</v>
      </c>
      <c r="C41" s="23" t="s">
        <v>138</v>
      </c>
      <c r="D41" s="23" t="s">
        <v>49</v>
      </c>
      <c r="E41" s="30">
        <f t="shared" si="6"/>
        <v>0.54534594791502</v>
      </c>
      <c r="F41" s="36">
        <v>319.8</v>
      </c>
      <c r="G41" s="37">
        <v>548.6</v>
      </c>
      <c r="H41" s="33">
        <f t="shared" si="0"/>
        <v>0.58293838862559244</v>
      </c>
      <c r="I41" s="36">
        <v>252.20000000000002</v>
      </c>
      <c r="J41" s="37">
        <v>486.2</v>
      </c>
      <c r="K41" s="33">
        <f t="shared" si="1"/>
        <v>0.51871657754010703</v>
      </c>
      <c r="L41" s="36">
        <v>314.60000000000002</v>
      </c>
      <c r="M41" s="37">
        <v>587.6</v>
      </c>
      <c r="N41" s="33">
        <f t="shared" si="2"/>
        <v>0.53539823008849563</v>
      </c>
      <c r="O41" s="36">
        <v>348.40000000000003</v>
      </c>
      <c r="P41" s="37">
        <v>631.80000000000007</v>
      </c>
      <c r="Q41" s="33">
        <f t="shared" si="3"/>
        <v>0.55144032921810704</v>
      </c>
      <c r="R41" s="36">
        <v>278.2</v>
      </c>
      <c r="S41" s="37">
        <v>517.4</v>
      </c>
      <c r="T41" s="33">
        <f t="shared" si="4"/>
        <v>0.53768844221105527</v>
      </c>
      <c r="U41" s="36">
        <v>293.8</v>
      </c>
      <c r="V41" s="37">
        <v>538.20000000000005</v>
      </c>
      <c r="W41" s="33">
        <f t="shared" si="5"/>
        <v>0.54589371980676327</v>
      </c>
    </row>
    <row r="42" spans="1:23" x14ac:dyDescent="0.35">
      <c r="A42" s="23" t="s">
        <v>61</v>
      </c>
      <c r="B42" s="23" t="s">
        <v>134</v>
      </c>
      <c r="C42" s="23" t="s">
        <v>138</v>
      </c>
      <c r="D42" s="23" t="s">
        <v>134</v>
      </c>
      <c r="E42" s="30">
        <f t="shared" si="6"/>
        <v>0.76403131613335651</v>
      </c>
      <c r="F42" s="36">
        <v>291.2</v>
      </c>
      <c r="G42" s="37">
        <v>379.6</v>
      </c>
      <c r="H42" s="33">
        <f t="shared" si="0"/>
        <v>0.76712328767123283</v>
      </c>
      <c r="I42" s="36">
        <v>384.8</v>
      </c>
      <c r="J42" s="37">
        <v>522.6</v>
      </c>
      <c r="K42" s="33">
        <f t="shared" si="1"/>
        <v>0.73631840796019898</v>
      </c>
      <c r="L42" s="36">
        <v>423.8</v>
      </c>
      <c r="M42" s="37">
        <v>527.80000000000007</v>
      </c>
      <c r="N42" s="33">
        <f t="shared" si="2"/>
        <v>0.80295566502463045</v>
      </c>
      <c r="O42" s="36">
        <v>262.60000000000002</v>
      </c>
      <c r="P42" s="37">
        <v>358.8</v>
      </c>
      <c r="Q42" s="33">
        <f t="shared" si="3"/>
        <v>0.73188405797101452</v>
      </c>
      <c r="R42" s="36">
        <v>322.40000000000003</v>
      </c>
      <c r="S42" s="37">
        <v>408.2</v>
      </c>
      <c r="T42" s="33">
        <f t="shared" si="4"/>
        <v>0.78980891719745239</v>
      </c>
      <c r="U42" s="36">
        <v>322.40000000000003</v>
      </c>
      <c r="V42" s="37">
        <v>426.40000000000003</v>
      </c>
      <c r="W42" s="33">
        <f t="shared" si="5"/>
        <v>0.75609756097560976</v>
      </c>
    </row>
    <row r="43" spans="1:23" x14ac:dyDescent="0.35">
      <c r="A43" s="23" t="s">
        <v>62</v>
      </c>
      <c r="B43" s="23" t="s">
        <v>134</v>
      </c>
      <c r="C43" s="23" t="s">
        <v>138</v>
      </c>
      <c r="D43" s="23" t="s">
        <v>134</v>
      </c>
      <c r="E43" s="30">
        <f t="shared" si="6"/>
        <v>0.76420053083788375</v>
      </c>
      <c r="F43" s="36">
        <v>387.40000000000003</v>
      </c>
      <c r="G43" s="37">
        <v>533</v>
      </c>
      <c r="H43" s="33">
        <f t="shared" si="0"/>
        <v>0.72682926829268302</v>
      </c>
      <c r="I43" s="36">
        <v>548.6</v>
      </c>
      <c r="J43" s="37">
        <v>717.6</v>
      </c>
      <c r="K43" s="33">
        <f t="shared" si="1"/>
        <v>0.76449275362318836</v>
      </c>
      <c r="L43" s="36">
        <v>379.6</v>
      </c>
      <c r="M43" s="37">
        <v>642.20000000000005</v>
      </c>
      <c r="N43" s="33">
        <f t="shared" si="2"/>
        <v>0.59109311740890691</v>
      </c>
      <c r="O43" s="36">
        <v>535.6</v>
      </c>
      <c r="P43" s="37">
        <v>652.6</v>
      </c>
      <c r="Q43" s="33">
        <f t="shared" si="3"/>
        <v>0.82071713147410363</v>
      </c>
      <c r="R43" s="36">
        <v>387.40000000000003</v>
      </c>
      <c r="S43" s="37">
        <v>538.20000000000005</v>
      </c>
      <c r="T43" s="33">
        <f t="shared" si="4"/>
        <v>0.71980676328502413</v>
      </c>
      <c r="U43" s="36">
        <v>530.4</v>
      </c>
      <c r="V43" s="37">
        <v>551.20000000000005</v>
      </c>
      <c r="W43" s="33">
        <f t="shared" si="5"/>
        <v>0.96226415094339612</v>
      </c>
    </row>
    <row r="44" spans="1:23" x14ac:dyDescent="0.35">
      <c r="A44" s="23" t="s">
        <v>63</v>
      </c>
      <c r="B44" s="23" t="s">
        <v>134</v>
      </c>
      <c r="C44" s="23" t="s">
        <v>138</v>
      </c>
      <c r="D44" s="23" t="s">
        <v>134</v>
      </c>
      <c r="E44" s="30">
        <f t="shared" si="6"/>
        <v>0.68824245240725801</v>
      </c>
      <c r="F44" s="36">
        <v>873.6</v>
      </c>
      <c r="G44" s="37">
        <v>1138.8</v>
      </c>
      <c r="H44" s="33">
        <f t="shared" si="0"/>
        <v>0.76712328767123295</v>
      </c>
      <c r="I44" s="36">
        <v>546</v>
      </c>
      <c r="J44" s="38">
        <v>741</v>
      </c>
      <c r="K44" s="33">
        <f t="shared" si="1"/>
        <v>0.73684210526315785</v>
      </c>
      <c r="L44" s="36">
        <v>358.8</v>
      </c>
      <c r="M44" s="38">
        <v>530.4</v>
      </c>
      <c r="N44" s="33">
        <f t="shared" si="2"/>
        <v>0.67647058823529416</v>
      </c>
      <c r="O44" s="36">
        <v>312</v>
      </c>
      <c r="P44" s="38">
        <v>460.2</v>
      </c>
      <c r="Q44" s="33">
        <f t="shared" si="3"/>
        <v>0.67796610169491522</v>
      </c>
      <c r="R44" s="36">
        <v>335.40000000000003</v>
      </c>
      <c r="S44" s="38">
        <v>444.6</v>
      </c>
      <c r="T44" s="33">
        <f t="shared" si="4"/>
        <v>0.75438596491228072</v>
      </c>
      <c r="U44" s="36">
        <v>241.8</v>
      </c>
      <c r="V44" s="38">
        <v>468</v>
      </c>
      <c r="W44" s="33">
        <f t="shared" si="5"/>
        <v>0.51666666666666672</v>
      </c>
    </row>
    <row r="45" spans="1:23" x14ac:dyDescent="0.35">
      <c r="A45" s="23" t="s">
        <v>64</v>
      </c>
      <c r="B45" s="23" t="s">
        <v>134</v>
      </c>
      <c r="C45" s="23" t="s">
        <v>138</v>
      </c>
      <c r="D45" s="23" t="s">
        <v>134</v>
      </c>
      <c r="E45" s="30">
        <f t="shared" si="6"/>
        <v>0.62533146838541021</v>
      </c>
      <c r="F45" s="36">
        <v>179.4</v>
      </c>
      <c r="G45" s="37">
        <v>390</v>
      </c>
      <c r="H45" s="33">
        <f t="shared" si="0"/>
        <v>0.46</v>
      </c>
      <c r="I45" s="36">
        <v>374.40000000000003</v>
      </c>
      <c r="J45" s="38">
        <v>616.20000000000005</v>
      </c>
      <c r="K45" s="33">
        <f t="shared" si="1"/>
        <v>0.60759493670886078</v>
      </c>
      <c r="L45" s="36">
        <v>280.8</v>
      </c>
      <c r="M45" s="38">
        <v>374.40000000000003</v>
      </c>
      <c r="N45" s="33">
        <f t="shared" si="2"/>
        <v>0.75</v>
      </c>
      <c r="O45" s="36">
        <v>241.8</v>
      </c>
      <c r="P45" s="38">
        <v>382.2</v>
      </c>
      <c r="Q45" s="33">
        <f t="shared" si="3"/>
        <v>0.63265306122448983</v>
      </c>
      <c r="R45" s="36">
        <v>421.2</v>
      </c>
      <c r="S45" s="38">
        <v>733.2</v>
      </c>
      <c r="T45" s="33">
        <f t="shared" si="4"/>
        <v>0.57446808510638292</v>
      </c>
      <c r="U45" s="36">
        <v>249.60000000000002</v>
      </c>
      <c r="V45" s="38">
        <v>343.2</v>
      </c>
      <c r="W45" s="33">
        <f t="shared" si="5"/>
        <v>0.7272727272727274</v>
      </c>
    </row>
    <row r="46" spans="1:23" x14ac:dyDescent="0.35">
      <c r="A46" s="23" t="s">
        <v>65</v>
      </c>
      <c r="B46" s="23" t="s">
        <v>134</v>
      </c>
      <c r="C46" s="23" t="s">
        <v>138</v>
      </c>
      <c r="D46" s="23" t="s">
        <v>134</v>
      </c>
      <c r="E46" s="30">
        <f t="shared" si="6"/>
        <v>0.62071608070949558</v>
      </c>
      <c r="F46" s="36">
        <v>496.6</v>
      </c>
      <c r="G46" s="37">
        <v>925.6</v>
      </c>
      <c r="H46" s="33">
        <f t="shared" si="0"/>
        <v>0.5365168539325843</v>
      </c>
      <c r="I46" s="36">
        <v>514.80000000000007</v>
      </c>
      <c r="J46" s="37">
        <v>860.6</v>
      </c>
      <c r="K46" s="33">
        <f t="shared" si="1"/>
        <v>0.59818731117824775</v>
      </c>
      <c r="L46" s="36">
        <v>520</v>
      </c>
      <c r="M46" s="37">
        <v>772.2</v>
      </c>
      <c r="N46" s="33">
        <f t="shared" si="2"/>
        <v>0.67340067340067333</v>
      </c>
      <c r="O46" s="36">
        <v>483.6</v>
      </c>
      <c r="P46" s="37">
        <v>793</v>
      </c>
      <c r="Q46" s="33">
        <f t="shared" si="3"/>
        <v>0.60983606557377057</v>
      </c>
      <c r="R46" s="36">
        <v>634.4</v>
      </c>
      <c r="S46" s="37">
        <v>956.80000000000007</v>
      </c>
      <c r="T46" s="33">
        <f t="shared" si="4"/>
        <v>0.66304347826086951</v>
      </c>
      <c r="U46" s="36">
        <v>525.20000000000005</v>
      </c>
      <c r="V46" s="37">
        <v>816.4</v>
      </c>
      <c r="W46" s="33">
        <f t="shared" si="5"/>
        <v>0.6433121019108281</v>
      </c>
    </row>
    <row r="47" spans="1:23" x14ac:dyDescent="0.35">
      <c r="A47" s="23" t="s">
        <v>66</v>
      </c>
      <c r="B47" s="23" t="s">
        <v>134</v>
      </c>
      <c r="C47" s="23" t="s">
        <v>138</v>
      </c>
      <c r="D47" s="23" t="s">
        <v>134</v>
      </c>
      <c r="E47" s="30">
        <f t="shared" si="6"/>
        <v>0.57676071744938451</v>
      </c>
      <c r="F47" s="36">
        <v>340.6</v>
      </c>
      <c r="G47" s="37">
        <v>605.80000000000007</v>
      </c>
      <c r="H47" s="33">
        <f t="shared" si="0"/>
        <v>0.56223175965665229</v>
      </c>
      <c r="I47" s="36">
        <v>431.6</v>
      </c>
      <c r="J47" s="37">
        <v>730.6</v>
      </c>
      <c r="K47" s="33">
        <f t="shared" si="1"/>
        <v>0.59074733096085408</v>
      </c>
      <c r="L47" s="36">
        <v>361.40000000000003</v>
      </c>
      <c r="M47" s="37">
        <v>660.4</v>
      </c>
      <c r="N47" s="33">
        <f t="shared" si="2"/>
        <v>0.547244094488189</v>
      </c>
      <c r="O47" s="36">
        <v>332.8</v>
      </c>
      <c r="P47" s="37">
        <v>569.4</v>
      </c>
      <c r="Q47" s="33">
        <f t="shared" si="3"/>
        <v>0.58447488584474894</v>
      </c>
      <c r="R47" s="36">
        <v>400.40000000000003</v>
      </c>
      <c r="S47" s="37">
        <v>699.4</v>
      </c>
      <c r="T47" s="33">
        <f t="shared" si="4"/>
        <v>0.57249070631970267</v>
      </c>
      <c r="U47" s="36">
        <v>371.8</v>
      </c>
      <c r="V47" s="37">
        <v>616.20000000000005</v>
      </c>
      <c r="W47" s="33">
        <f t="shared" si="5"/>
        <v>0.6033755274261603</v>
      </c>
    </row>
    <row r="48" spans="1:23" x14ac:dyDescent="0.35">
      <c r="A48" s="23" t="s">
        <v>67</v>
      </c>
      <c r="B48" s="23" t="s">
        <v>134</v>
      </c>
      <c r="C48" s="23" t="s">
        <v>138</v>
      </c>
      <c r="D48" s="23" t="s">
        <v>134</v>
      </c>
      <c r="E48" s="30">
        <f t="shared" si="6"/>
        <v>0.59732176560024797</v>
      </c>
      <c r="F48" s="36">
        <v>512.20000000000005</v>
      </c>
      <c r="G48" s="37">
        <v>837.2</v>
      </c>
      <c r="H48" s="33">
        <f t="shared" si="0"/>
        <v>0.61180124223602483</v>
      </c>
      <c r="I48" s="36">
        <v>486.2</v>
      </c>
      <c r="J48" s="37">
        <v>813.80000000000007</v>
      </c>
      <c r="K48" s="33">
        <f t="shared" si="1"/>
        <v>0.597444089456869</v>
      </c>
      <c r="L48" s="36">
        <v>431.6</v>
      </c>
      <c r="M48" s="37">
        <v>751.4</v>
      </c>
      <c r="N48" s="33">
        <f t="shared" si="2"/>
        <v>0.5743944636678201</v>
      </c>
      <c r="O48" s="36">
        <v>525.20000000000005</v>
      </c>
      <c r="P48" s="37">
        <v>904.80000000000007</v>
      </c>
      <c r="Q48" s="33">
        <f t="shared" si="3"/>
        <v>0.58045977011494254</v>
      </c>
      <c r="R48" s="36">
        <v>507</v>
      </c>
      <c r="S48" s="37">
        <v>876.2</v>
      </c>
      <c r="T48" s="33">
        <f t="shared" si="4"/>
        <v>0.57863501483679525</v>
      </c>
      <c r="U48" s="36">
        <v>501.8</v>
      </c>
      <c r="V48" s="37">
        <v>782.6</v>
      </c>
      <c r="W48" s="33">
        <f t="shared" si="5"/>
        <v>0.64119601328903653</v>
      </c>
    </row>
    <row r="49" spans="1:23" x14ac:dyDescent="0.35">
      <c r="A49" s="23" t="s">
        <v>68</v>
      </c>
      <c r="B49" s="23" t="s">
        <v>134</v>
      </c>
      <c r="C49" s="23" t="s">
        <v>138</v>
      </c>
      <c r="D49" s="23" t="s">
        <v>134</v>
      </c>
      <c r="E49" s="30">
        <f t="shared" si="6"/>
        <v>0.69558392451171847</v>
      </c>
      <c r="F49" s="36">
        <v>670.80000000000007</v>
      </c>
      <c r="G49" s="37">
        <v>988</v>
      </c>
      <c r="H49" s="33">
        <f t="shared" si="0"/>
        <v>0.67894736842105274</v>
      </c>
      <c r="I49" s="36">
        <v>746.2</v>
      </c>
      <c r="J49" s="37">
        <v>1019.2</v>
      </c>
      <c r="K49" s="33">
        <f t="shared" si="1"/>
        <v>0.73214285714285721</v>
      </c>
      <c r="L49" s="36">
        <v>582.4</v>
      </c>
      <c r="M49" s="37">
        <v>886.6</v>
      </c>
      <c r="N49" s="33">
        <f t="shared" si="2"/>
        <v>0.65689149560117299</v>
      </c>
      <c r="O49" s="36">
        <v>683.80000000000007</v>
      </c>
      <c r="P49" s="37">
        <v>1001</v>
      </c>
      <c r="Q49" s="33">
        <f t="shared" si="3"/>
        <v>0.68311688311688323</v>
      </c>
      <c r="R49" s="36">
        <v>579.80000000000007</v>
      </c>
      <c r="S49" s="37">
        <v>824.2</v>
      </c>
      <c r="T49" s="33">
        <f t="shared" si="4"/>
        <v>0.70347003154574139</v>
      </c>
      <c r="U49" s="36">
        <v>631.80000000000007</v>
      </c>
      <c r="V49" s="37">
        <v>878.80000000000007</v>
      </c>
      <c r="W49" s="33">
        <f t="shared" si="5"/>
        <v>0.71893491124260356</v>
      </c>
    </row>
    <row r="50" spans="1:23" x14ac:dyDescent="0.35">
      <c r="A50" s="23" t="s">
        <v>69</v>
      </c>
      <c r="B50" s="23" t="s">
        <v>134</v>
      </c>
      <c r="C50" s="23" t="s">
        <v>138</v>
      </c>
      <c r="D50" s="23" t="s">
        <v>134</v>
      </c>
      <c r="E50" s="30">
        <f t="shared" si="6"/>
        <v>0.60293819168374596</v>
      </c>
      <c r="F50" s="36">
        <v>395.2</v>
      </c>
      <c r="G50" s="37">
        <v>647.4</v>
      </c>
      <c r="H50" s="33">
        <f t="shared" si="0"/>
        <v>0.61044176706827313</v>
      </c>
      <c r="I50" s="36">
        <v>426.40000000000003</v>
      </c>
      <c r="J50" s="37">
        <v>730.6</v>
      </c>
      <c r="K50" s="33">
        <f t="shared" si="1"/>
        <v>0.58362989323843417</v>
      </c>
      <c r="L50" s="36">
        <v>442</v>
      </c>
      <c r="M50" s="37">
        <v>683.80000000000007</v>
      </c>
      <c r="N50" s="33">
        <f t="shared" si="2"/>
        <v>0.64638783269961975</v>
      </c>
      <c r="O50" s="36">
        <v>395.2</v>
      </c>
      <c r="P50" s="37">
        <v>707.2</v>
      </c>
      <c r="Q50" s="33">
        <f t="shared" si="3"/>
        <v>0.55882352941176461</v>
      </c>
      <c r="R50" s="36">
        <v>358.8</v>
      </c>
      <c r="S50" s="37">
        <v>639.6</v>
      </c>
      <c r="T50" s="33">
        <f t="shared" si="4"/>
        <v>0.5609756097560975</v>
      </c>
      <c r="U50" s="36">
        <v>429</v>
      </c>
      <c r="V50" s="37">
        <v>652.6</v>
      </c>
      <c r="W50" s="33">
        <f t="shared" si="5"/>
        <v>0.65737051792828682</v>
      </c>
    </row>
    <row r="51" spans="1:23" x14ac:dyDescent="0.35">
      <c r="A51" s="23" t="s">
        <v>70</v>
      </c>
      <c r="B51" s="23" t="s">
        <v>134</v>
      </c>
      <c r="C51" s="23" t="s">
        <v>138</v>
      </c>
      <c r="D51" s="23" t="s">
        <v>134</v>
      </c>
      <c r="E51" s="30">
        <f t="shared" si="6"/>
        <v>0.73638326858060388</v>
      </c>
      <c r="F51" s="36">
        <v>608.4</v>
      </c>
      <c r="G51" s="37">
        <v>829.4</v>
      </c>
      <c r="H51" s="33">
        <f t="shared" si="0"/>
        <v>0.73354231974921624</v>
      </c>
      <c r="I51" s="36">
        <v>522.6</v>
      </c>
      <c r="J51" s="37">
        <v>694.2</v>
      </c>
      <c r="K51" s="33">
        <f t="shared" si="1"/>
        <v>0.7528089887640449</v>
      </c>
      <c r="L51" s="36">
        <v>538.20000000000005</v>
      </c>
      <c r="M51" s="37">
        <v>738.4</v>
      </c>
      <c r="N51" s="33">
        <f t="shared" si="2"/>
        <v>0.72887323943661986</v>
      </c>
      <c r="O51" s="36">
        <v>592.80000000000007</v>
      </c>
      <c r="P51" s="37">
        <v>808.6</v>
      </c>
      <c r="Q51" s="33">
        <f t="shared" si="3"/>
        <v>0.73311897106109336</v>
      </c>
      <c r="R51" s="36">
        <v>587.6</v>
      </c>
      <c r="S51" s="37">
        <v>785.2</v>
      </c>
      <c r="T51" s="33">
        <f t="shared" si="4"/>
        <v>0.74834437086092709</v>
      </c>
      <c r="U51" s="36">
        <v>512.20000000000005</v>
      </c>
      <c r="V51" s="37">
        <v>709.80000000000007</v>
      </c>
      <c r="W51" s="33">
        <f t="shared" si="5"/>
        <v>0.7216117216117216</v>
      </c>
    </row>
    <row r="52" spans="1:23" x14ac:dyDescent="0.35">
      <c r="A52" s="23" t="s">
        <v>72</v>
      </c>
      <c r="B52" s="23" t="s">
        <v>135</v>
      </c>
      <c r="C52" s="23" t="s">
        <v>138</v>
      </c>
      <c r="D52" s="23" t="s">
        <v>135</v>
      </c>
      <c r="E52" s="30">
        <f t="shared" si="6"/>
        <v>0.56537100411955665</v>
      </c>
      <c r="F52" s="36">
        <v>439</v>
      </c>
      <c r="G52" s="38">
        <v>800.80000000000007</v>
      </c>
      <c r="H52" s="33">
        <f t="shared" si="0"/>
        <v>0.54820179820179815</v>
      </c>
      <c r="I52" s="36">
        <v>643.6</v>
      </c>
      <c r="J52" s="38">
        <v>980.2</v>
      </c>
      <c r="K52" s="33">
        <f t="shared" si="1"/>
        <v>0.6566006937359723</v>
      </c>
      <c r="L52" s="36">
        <v>375.2</v>
      </c>
      <c r="M52" s="38">
        <v>707.2</v>
      </c>
      <c r="N52" s="33">
        <f t="shared" si="2"/>
        <v>0.53054298642533937</v>
      </c>
      <c r="O52" s="36">
        <v>413.8</v>
      </c>
      <c r="P52" s="38">
        <v>655.20000000000005</v>
      </c>
      <c r="Q52" s="33">
        <f t="shared" si="3"/>
        <v>0.63156288156288154</v>
      </c>
      <c r="R52" s="36">
        <v>301.39999999999998</v>
      </c>
      <c r="S52" s="38">
        <v>592.80000000000007</v>
      </c>
      <c r="T52" s="33">
        <f t="shared" si="4"/>
        <v>0.50843454790823206</v>
      </c>
      <c r="U52" s="36">
        <v>517.4</v>
      </c>
      <c r="V52" s="38">
        <v>1001</v>
      </c>
      <c r="W52" s="33">
        <f t="shared" si="5"/>
        <v>0.51688311688311683</v>
      </c>
    </row>
    <row r="53" spans="1:23" x14ac:dyDescent="0.35">
      <c r="A53" s="23" t="s">
        <v>73</v>
      </c>
      <c r="B53" s="23" t="s">
        <v>135</v>
      </c>
      <c r="C53" s="23" t="s">
        <v>138</v>
      </c>
      <c r="D53" s="23" t="s">
        <v>135</v>
      </c>
      <c r="E53" s="30">
        <f t="shared" si="6"/>
        <v>0.69758313508982217</v>
      </c>
      <c r="F53" s="36">
        <v>497</v>
      </c>
      <c r="G53" s="38">
        <v>602</v>
      </c>
      <c r="H53" s="33">
        <f t="shared" si="0"/>
        <v>0.82558139534883723</v>
      </c>
      <c r="I53" s="36">
        <v>249</v>
      </c>
      <c r="J53" s="38">
        <v>411</v>
      </c>
      <c r="K53" s="33">
        <f t="shared" si="1"/>
        <v>0.6058394160583942</v>
      </c>
      <c r="L53" s="36">
        <v>176</v>
      </c>
      <c r="M53" s="38">
        <v>308</v>
      </c>
      <c r="N53" s="33">
        <f t="shared" si="2"/>
        <v>0.5714285714285714</v>
      </c>
      <c r="O53" s="36">
        <v>334</v>
      </c>
      <c r="P53" s="38">
        <v>549</v>
      </c>
      <c r="Q53" s="33">
        <f t="shared" si="3"/>
        <v>0.60837887067395269</v>
      </c>
      <c r="R53" s="36">
        <v>253.29999999999998</v>
      </c>
      <c r="S53" s="38">
        <v>295.8</v>
      </c>
      <c r="T53" s="33">
        <f t="shared" si="4"/>
        <v>0.85632183908045967</v>
      </c>
      <c r="U53" s="36">
        <v>392</v>
      </c>
      <c r="V53" s="38">
        <v>546</v>
      </c>
      <c r="W53" s="33">
        <f t="shared" si="5"/>
        <v>0.71794871794871795</v>
      </c>
    </row>
    <row r="54" spans="1:23" x14ac:dyDescent="0.35">
      <c r="A54" s="23" t="s">
        <v>74</v>
      </c>
      <c r="B54" s="23" t="s">
        <v>135</v>
      </c>
      <c r="C54" s="23" t="s">
        <v>138</v>
      </c>
      <c r="D54" s="23" t="s">
        <v>135</v>
      </c>
      <c r="E54" s="30">
        <f t="shared" si="6"/>
        <v>0.81439807714367329</v>
      </c>
      <c r="F54" s="36">
        <v>518</v>
      </c>
      <c r="G54" s="38">
        <v>637</v>
      </c>
      <c r="H54" s="33">
        <f t="shared" si="0"/>
        <v>0.81318681318681318</v>
      </c>
      <c r="I54" s="36">
        <v>291</v>
      </c>
      <c r="J54" s="38">
        <v>324</v>
      </c>
      <c r="K54" s="33">
        <f t="shared" si="1"/>
        <v>0.89814814814814814</v>
      </c>
      <c r="L54" s="36">
        <v>272</v>
      </c>
      <c r="M54" s="38">
        <v>324</v>
      </c>
      <c r="N54" s="33">
        <f t="shared" si="2"/>
        <v>0.83950617283950613</v>
      </c>
      <c r="O54" s="36">
        <v>192</v>
      </c>
      <c r="P54" s="38">
        <v>246</v>
      </c>
      <c r="Q54" s="33">
        <f t="shared" si="3"/>
        <v>0.78048780487804881</v>
      </c>
      <c r="R54" s="36">
        <v>201</v>
      </c>
      <c r="S54" s="38">
        <v>288</v>
      </c>
      <c r="T54" s="33">
        <f t="shared" si="4"/>
        <v>0.69791666666666663</v>
      </c>
      <c r="U54" s="36">
        <v>630</v>
      </c>
      <c r="V54" s="38">
        <v>735</v>
      </c>
      <c r="W54" s="33">
        <f t="shared" si="5"/>
        <v>0.8571428571428571</v>
      </c>
    </row>
    <row r="55" spans="1:23" x14ac:dyDescent="0.35">
      <c r="A55" s="23" t="s">
        <v>75</v>
      </c>
      <c r="B55" s="23" t="s">
        <v>135</v>
      </c>
      <c r="C55" s="23" t="s">
        <v>138</v>
      </c>
      <c r="D55" s="23" t="s">
        <v>135</v>
      </c>
      <c r="E55" s="30">
        <f t="shared" si="6"/>
        <v>0.78010629407981102</v>
      </c>
      <c r="F55" s="36">
        <v>574</v>
      </c>
      <c r="G55" s="38">
        <v>686</v>
      </c>
      <c r="H55" s="33">
        <f t="shared" si="0"/>
        <v>0.83673469387755106</v>
      </c>
      <c r="I55" s="36">
        <v>258</v>
      </c>
      <c r="J55" s="38">
        <v>303</v>
      </c>
      <c r="K55" s="33">
        <f t="shared" si="1"/>
        <v>0.85148514851485146</v>
      </c>
      <c r="L55" s="36">
        <v>356</v>
      </c>
      <c r="M55" s="38">
        <v>496</v>
      </c>
      <c r="N55" s="33">
        <f t="shared" si="2"/>
        <v>0.717741935483871</v>
      </c>
      <c r="O55" s="36">
        <v>231</v>
      </c>
      <c r="P55" s="38">
        <v>327</v>
      </c>
      <c r="Q55" s="33">
        <f t="shared" si="3"/>
        <v>0.70642201834862384</v>
      </c>
      <c r="R55" s="36">
        <v>228</v>
      </c>
      <c r="S55" s="38">
        <v>315</v>
      </c>
      <c r="T55" s="33">
        <f t="shared" si="4"/>
        <v>0.72380952380952379</v>
      </c>
      <c r="U55" s="36">
        <v>532</v>
      </c>
      <c r="V55" s="38">
        <v>630</v>
      </c>
      <c r="W55" s="33">
        <f t="shared" si="5"/>
        <v>0.84444444444444444</v>
      </c>
    </row>
    <row r="56" spans="1:23" x14ac:dyDescent="0.35">
      <c r="A56" s="23" t="s">
        <v>76</v>
      </c>
      <c r="B56" s="23" t="s">
        <v>135</v>
      </c>
      <c r="C56" s="23" t="s">
        <v>138</v>
      </c>
      <c r="D56" s="23" t="s">
        <v>135</v>
      </c>
      <c r="E56" s="30">
        <f t="shared" si="6"/>
        <v>0.62434395416792066</v>
      </c>
      <c r="F56" s="36">
        <v>435</v>
      </c>
      <c r="G56" s="38">
        <v>688</v>
      </c>
      <c r="H56" s="33">
        <f t="shared" si="0"/>
        <v>0.63226744186046513</v>
      </c>
      <c r="I56" s="36">
        <v>391</v>
      </c>
      <c r="J56" s="38">
        <v>640</v>
      </c>
      <c r="K56" s="33">
        <f t="shared" si="1"/>
        <v>0.61093750000000002</v>
      </c>
      <c r="L56" s="36">
        <v>393</v>
      </c>
      <c r="M56" s="38">
        <v>576</v>
      </c>
      <c r="N56" s="33">
        <f t="shared" si="2"/>
        <v>0.68229166666666663</v>
      </c>
      <c r="O56" s="36">
        <v>401</v>
      </c>
      <c r="P56" s="38">
        <v>667</v>
      </c>
      <c r="Q56" s="33">
        <f t="shared" si="3"/>
        <v>0.60119940029985008</v>
      </c>
      <c r="R56" s="36">
        <v>342</v>
      </c>
      <c r="S56" s="38">
        <v>589</v>
      </c>
      <c r="T56" s="33">
        <f t="shared" si="4"/>
        <v>0.58064516129032262</v>
      </c>
      <c r="U56" s="36">
        <v>320</v>
      </c>
      <c r="V56" s="38">
        <v>501</v>
      </c>
      <c r="W56" s="33">
        <f t="shared" si="5"/>
        <v>0.63872255489021956</v>
      </c>
    </row>
    <row r="57" spans="1:23" x14ac:dyDescent="0.35">
      <c r="A57" s="23" t="s">
        <v>77</v>
      </c>
      <c r="B57" s="23" t="s">
        <v>135</v>
      </c>
      <c r="C57" s="23" t="s">
        <v>138</v>
      </c>
      <c r="D57" s="23" t="s">
        <v>135</v>
      </c>
      <c r="E57" s="30">
        <f t="shared" si="6"/>
        <v>0.59324875011922296</v>
      </c>
      <c r="F57" s="36">
        <v>352</v>
      </c>
      <c r="G57" s="38">
        <v>623</v>
      </c>
      <c r="H57" s="33">
        <f t="shared" si="0"/>
        <v>0.565008025682183</v>
      </c>
      <c r="I57" s="36">
        <v>358</v>
      </c>
      <c r="J57" s="38">
        <v>591</v>
      </c>
      <c r="K57" s="33">
        <f t="shared" si="1"/>
        <v>0.60575296108291032</v>
      </c>
      <c r="L57" s="36">
        <v>319</v>
      </c>
      <c r="M57" s="38">
        <v>456</v>
      </c>
      <c r="N57" s="33">
        <f t="shared" si="2"/>
        <v>0.69956140350877194</v>
      </c>
      <c r="O57" s="36">
        <v>448</v>
      </c>
      <c r="P57" s="38">
        <v>671</v>
      </c>
      <c r="Q57" s="33">
        <f t="shared" si="3"/>
        <v>0.66766020864381526</v>
      </c>
      <c r="R57" s="36">
        <v>304</v>
      </c>
      <c r="S57" s="38">
        <v>601</v>
      </c>
      <c r="T57" s="33">
        <f t="shared" si="4"/>
        <v>0.50582362728785357</v>
      </c>
      <c r="U57" s="36">
        <v>263</v>
      </c>
      <c r="V57" s="38">
        <v>510</v>
      </c>
      <c r="W57" s="33">
        <f t="shared" si="5"/>
        <v>0.51568627450980398</v>
      </c>
    </row>
    <row r="58" spans="1:23" x14ac:dyDescent="0.35">
      <c r="A58" s="23" t="s">
        <v>78</v>
      </c>
      <c r="B58" s="23" t="s">
        <v>135</v>
      </c>
      <c r="C58" s="23" t="s">
        <v>138</v>
      </c>
      <c r="D58" s="23" t="s">
        <v>135</v>
      </c>
      <c r="E58" s="30">
        <f t="shared" si="6"/>
        <v>0.58827347757783921</v>
      </c>
      <c r="F58" s="36">
        <v>547</v>
      </c>
      <c r="G58" s="38">
        <v>896</v>
      </c>
      <c r="H58" s="33">
        <f t="shared" si="0"/>
        <v>0.6104910714285714</v>
      </c>
      <c r="I58" s="36">
        <v>421</v>
      </c>
      <c r="J58" s="38">
        <v>684</v>
      </c>
      <c r="K58" s="33">
        <f t="shared" si="1"/>
        <v>0.61549707602339176</v>
      </c>
      <c r="L58" s="36">
        <v>423</v>
      </c>
      <c r="M58" s="38">
        <v>722</v>
      </c>
      <c r="N58" s="33">
        <f t="shared" si="2"/>
        <v>0.58587257617728528</v>
      </c>
      <c r="O58" s="36">
        <v>377</v>
      </c>
      <c r="P58" s="38">
        <v>701</v>
      </c>
      <c r="Q58" s="33">
        <f t="shared" si="3"/>
        <v>0.53780313837375182</v>
      </c>
      <c r="R58" s="36">
        <v>365</v>
      </c>
      <c r="S58" s="38">
        <v>694</v>
      </c>
      <c r="T58" s="33">
        <f t="shared" si="4"/>
        <v>0.52593659942363113</v>
      </c>
      <c r="U58" s="36">
        <v>518</v>
      </c>
      <c r="V58" s="38">
        <v>792</v>
      </c>
      <c r="W58" s="33">
        <f t="shared" si="5"/>
        <v>0.65404040404040409</v>
      </c>
    </row>
    <row r="59" spans="1:23" x14ac:dyDescent="0.35">
      <c r="A59" s="23" t="s">
        <v>79</v>
      </c>
      <c r="B59" s="23" t="s">
        <v>135</v>
      </c>
      <c r="C59" s="23" t="s">
        <v>138</v>
      </c>
      <c r="D59" s="23" t="s">
        <v>135</v>
      </c>
      <c r="E59" s="30">
        <f t="shared" si="6"/>
        <v>0.51277179911203563</v>
      </c>
      <c r="F59" s="36">
        <v>310</v>
      </c>
      <c r="G59" s="38">
        <v>594</v>
      </c>
      <c r="H59" s="33">
        <f t="shared" si="0"/>
        <v>0.52188552188552184</v>
      </c>
      <c r="I59" s="36">
        <v>318</v>
      </c>
      <c r="J59" s="38">
        <v>601</v>
      </c>
      <c r="K59" s="33">
        <f t="shared" si="1"/>
        <v>0.52911813643926786</v>
      </c>
      <c r="L59" s="36">
        <v>299</v>
      </c>
      <c r="M59" s="38">
        <v>567</v>
      </c>
      <c r="N59" s="33">
        <f t="shared" si="2"/>
        <v>0.52733686067019403</v>
      </c>
      <c r="O59" s="36">
        <v>261</v>
      </c>
      <c r="P59" s="38">
        <v>603</v>
      </c>
      <c r="Q59" s="33">
        <f t="shared" si="3"/>
        <v>0.43283582089552236</v>
      </c>
      <c r="R59" s="36">
        <v>355</v>
      </c>
      <c r="S59" s="38">
        <v>719</v>
      </c>
      <c r="T59" s="33">
        <f t="shared" si="4"/>
        <v>0.49374130737134908</v>
      </c>
      <c r="U59" s="36">
        <v>287</v>
      </c>
      <c r="V59" s="38">
        <v>502</v>
      </c>
      <c r="W59" s="33">
        <f t="shared" si="5"/>
        <v>0.57171314741035861</v>
      </c>
    </row>
    <row r="60" spans="1:23" x14ac:dyDescent="0.35">
      <c r="A60" s="23" t="s">
        <v>80</v>
      </c>
      <c r="B60" s="23" t="s">
        <v>135</v>
      </c>
      <c r="C60" s="23" t="s">
        <v>138</v>
      </c>
      <c r="D60" s="23" t="s">
        <v>135</v>
      </c>
      <c r="E60" s="30">
        <f t="shared" si="6"/>
        <v>0.60218790727131832</v>
      </c>
      <c r="F60" s="36">
        <v>366.28571428571428</v>
      </c>
      <c r="G60" s="38">
        <v>641</v>
      </c>
      <c r="H60" s="33">
        <f t="shared" si="0"/>
        <v>0.5714285714285714</v>
      </c>
      <c r="I60" s="36">
        <v>384.63157894736838</v>
      </c>
      <c r="J60" s="38">
        <v>609</v>
      </c>
      <c r="K60" s="33">
        <f t="shared" si="1"/>
        <v>0.63157894736842102</v>
      </c>
      <c r="L60" s="36">
        <v>330.18749999999994</v>
      </c>
      <c r="M60" s="38">
        <v>587</v>
      </c>
      <c r="N60" s="33">
        <f t="shared" si="2"/>
        <v>0.56249999999999989</v>
      </c>
      <c r="O60" s="36">
        <v>349.07142857142856</v>
      </c>
      <c r="P60" s="38">
        <v>543</v>
      </c>
      <c r="Q60" s="33">
        <f t="shared" si="3"/>
        <v>0.64285714285714279</v>
      </c>
      <c r="R60" s="36">
        <v>421.42180094786727</v>
      </c>
      <c r="S60" s="38">
        <v>741</v>
      </c>
      <c r="T60" s="33">
        <f t="shared" si="4"/>
        <v>0.56872037914691942</v>
      </c>
      <c r="U60" s="36">
        <v>349.18727915194347</v>
      </c>
      <c r="V60" s="38">
        <v>549</v>
      </c>
      <c r="W60" s="33">
        <f t="shared" si="5"/>
        <v>0.63604240282685509</v>
      </c>
    </row>
    <row r="61" spans="1:23" x14ac:dyDescent="0.35">
      <c r="A61" s="23" t="s">
        <v>81</v>
      </c>
      <c r="B61" s="23" t="s">
        <v>135</v>
      </c>
      <c r="C61" s="23" t="s">
        <v>138</v>
      </c>
      <c r="D61" s="23" t="s">
        <v>135</v>
      </c>
      <c r="E61" s="30">
        <f t="shared" si="6"/>
        <v>0.57861669936680238</v>
      </c>
      <c r="F61" s="36">
        <v>217.00418623281905</v>
      </c>
      <c r="G61" s="38">
        <v>394</v>
      </c>
      <c r="H61" s="33">
        <f t="shared" si="0"/>
        <v>0.55077204627619047</v>
      </c>
      <c r="I61" s="36">
        <v>217.32305425961053</v>
      </c>
      <c r="J61" s="38">
        <v>357</v>
      </c>
      <c r="K61" s="33">
        <f t="shared" si="1"/>
        <v>0.60874805114736841</v>
      </c>
      <c r="L61" s="36">
        <v>230.96281528063122</v>
      </c>
      <c r="M61" s="38">
        <v>426</v>
      </c>
      <c r="N61" s="33">
        <f t="shared" si="2"/>
        <v>0.54216623305312495</v>
      </c>
      <c r="O61" s="36">
        <v>249</v>
      </c>
      <c r="P61" s="38">
        <v>409</v>
      </c>
      <c r="Q61" s="33">
        <f t="shared" si="3"/>
        <v>0.60880195599022002</v>
      </c>
      <c r="R61" s="36">
        <v>177.60440771863509</v>
      </c>
      <c r="S61" s="38">
        <v>324</v>
      </c>
      <c r="T61" s="33">
        <f t="shared" si="4"/>
        <v>0.54816175221800956</v>
      </c>
      <c r="U61" s="36">
        <v>237.25041095865373</v>
      </c>
      <c r="V61" s="38">
        <v>387</v>
      </c>
      <c r="W61" s="33">
        <f t="shared" si="5"/>
        <v>0.61305015751590108</v>
      </c>
    </row>
    <row r="62" spans="1:23" x14ac:dyDescent="0.35">
      <c r="A62" s="23" t="s">
        <v>83</v>
      </c>
      <c r="B62" s="23" t="s">
        <v>134</v>
      </c>
      <c r="C62" s="23" t="s">
        <v>137</v>
      </c>
      <c r="E62" s="30">
        <f t="shared" si="6"/>
        <v>0.61969617611635086</v>
      </c>
      <c r="F62" s="36">
        <v>270.43537951619049</v>
      </c>
      <c r="G62" s="38">
        <v>458</v>
      </c>
      <c r="H62" s="33">
        <f t="shared" si="0"/>
        <v>0.59047026095238098</v>
      </c>
      <c r="I62" s="36">
        <v>318</v>
      </c>
      <c r="J62" s="38">
        <v>499</v>
      </c>
      <c r="K62" s="33">
        <f t="shared" si="1"/>
        <v>0.63727454909819636</v>
      </c>
      <c r="L62" s="36">
        <v>213.89785202999997</v>
      </c>
      <c r="M62" s="38">
        <v>368</v>
      </c>
      <c r="N62" s="33">
        <f t="shared" si="2"/>
        <v>0.58124416312499994</v>
      </c>
      <c r="O62" s="36">
        <v>283.64715160499998</v>
      </c>
      <c r="P62" s="38">
        <v>427</v>
      </c>
      <c r="Q62" s="33">
        <f t="shared" si="3"/>
        <v>0.66427904357142853</v>
      </c>
      <c r="R62" s="36">
        <v>231.54269853649291</v>
      </c>
      <c r="S62" s="38">
        <v>394</v>
      </c>
      <c r="T62" s="33">
        <f t="shared" si="4"/>
        <v>0.58767182369668247</v>
      </c>
      <c r="U62" s="36">
        <v>329.93308255971726</v>
      </c>
      <c r="V62" s="38">
        <v>502</v>
      </c>
      <c r="W62" s="33">
        <f t="shared" si="5"/>
        <v>0.65723721625441689</v>
      </c>
    </row>
    <row r="63" spans="1:23" x14ac:dyDescent="0.35">
      <c r="A63" s="23" t="s">
        <v>84</v>
      </c>
      <c r="B63" s="23" t="s">
        <v>134</v>
      </c>
      <c r="C63" s="23" t="s">
        <v>137</v>
      </c>
      <c r="E63" s="30">
        <f t="shared" si="6"/>
        <v>0.67418851359481013</v>
      </c>
      <c r="F63" s="36">
        <v>329.24107146857142</v>
      </c>
      <c r="G63" s="38">
        <v>513</v>
      </c>
      <c r="H63" s="33">
        <f t="shared" si="0"/>
        <v>0.64179546095238094</v>
      </c>
      <c r="I63" s="36">
        <v>351</v>
      </c>
      <c r="J63" s="38">
        <v>504</v>
      </c>
      <c r="K63" s="33">
        <f t="shared" si="1"/>
        <v>0.6964285714285714</v>
      </c>
      <c r="L63" s="36">
        <v>291.24477456937495</v>
      </c>
      <c r="M63" s="38">
        <v>461</v>
      </c>
      <c r="N63" s="33">
        <f t="shared" si="2"/>
        <v>0.63176740687499988</v>
      </c>
      <c r="O63" s="36">
        <v>358.84388710500002</v>
      </c>
      <c r="P63" s="38">
        <v>497</v>
      </c>
      <c r="Q63" s="33">
        <f t="shared" si="3"/>
        <v>0.72201989357142859</v>
      </c>
      <c r="R63" s="36">
        <v>325.12567213838861</v>
      </c>
      <c r="S63" s="38">
        <v>509</v>
      </c>
      <c r="T63" s="33">
        <f t="shared" si="4"/>
        <v>0.63875377630331753</v>
      </c>
      <c r="U63" s="36">
        <v>341.46693482544168</v>
      </c>
      <c r="V63" s="38">
        <v>478</v>
      </c>
      <c r="W63" s="33">
        <f t="shared" si="5"/>
        <v>0.71436597243816247</v>
      </c>
    </row>
    <row r="64" spans="1:23" x14ac:dyDescent="0.35">
      <c r="A64" s="23" t="s">
        <v>85</v>
      </c>
      <c r="B64" s="23" t="s">
        <v>134</v>
      </c>
      <c r="C64" s="23" t="s">
        <v>137</v>
      </c>
      <c r="E64" s="30">
        <f t="shared" si="6"/>
        <v>0.63922724293319522</v>
      </c>
      <c r="F64" s="36">
        <v>196.53061227428572</v>
      </c>
      <c r="G64" s="38">
        <v>324</v>
      </c>
      <c r="H64" s="33">
        <f t="shared" si="0"/>
        <v>0.60657596380952383</v>
      </c>
      <c r="I64" s="36">
        <v>302.36215543368422</v>
      </c>
      <c r="J64" s="38">
        <v>451</v>
      </c>
      <c r="K64" s="33">
        <f t="shared" si="1"/>
        <v>0.67042606526315796</v>
      </c>
      <c r="L64" s="36">
        <v>231.077008963125</v>
      </c>
      <c r="M64" s="38">
        <v>387</v>
      </c>
      <c r="N64" s="33">
        <f t="shared" si="2"/>
        <v>0.59709821437499999</v>
      </c>
      <c r="O64" s="36">
        <v>323.45663270142859</v>
      </c>
      <c r="P64" s="38">
        <v>474</v>
      </c>
      <c r="Q64" s="33">
        <f t="shared" si="3"/>
        <v>0.68239795928571434</v>
      </c>
      <c r="R64" s="36">
        <v>399.65019189004738</v>
      </c>
      <c r="S64" s="38">
        <v>662</v>
      </c>
      <c r="T64" s="33">
        <f t="shared" si="4"/>
        <v>0.6037011962085308</v>
      </c>
      <c r="U64" s="36">
        <v>295.7218576918728</v>
      </c>
      <c r="V64" s="38">
        <v>438</v>
      </c>
      <c r="W64" s="33">
        <f t="shared" si="5"/>
        <v>0.67516405865724383</v>
      </c>
    </row>
    <row r="65" spans="1:23" x14ac:dyDescent="0.35">
      <c r="A65" s="23" t="s">
        <v>86</v>
      </c>
      <c r="B65" s="23" t="s">
        <v>134</v>
      </c>
      <c r="C65" s="23" t="s">
        <v>137</v>
      </c>
      <c r="E65" s="30">
        <f t="shared" si="6"/>
        <v>0.6665259422979164</v>
      </c>
      <c r="F65" s="36">
        <v>405.41984971238105</v>
      </c>
      <c r="G65" s="38">
        <v>641</v>
      </c>
      <c r="H65" s="33">
        <f t="shared" si="0"/>
        <v>0.63248026476190489</v>
      </c>
      <c r="I65" s="36">
        <v>421.53145224631584</v>
      </c>
      <c r="J65" s="38">
        <v>603</v>
      </c>
      <c r="K65" s="33">
        <f t="shared" si="1"/>
        <v>0.69905713473684217</v>
      </c>
      <c r="L65" s="36">
        <v>344.91915938625004</v>
      </c>
      <c r="M65" s="38">
        <v>554</v>
      </c>
      <c r="N65" s="33">
        <f t="shared" si="2"/>
        <v>0.62259776062500005</v>
      </c>
      <c r="O65" s="36">
        <v>444.00114586285724</v>
      </c>
      <c r="P65" s="38">
        <v>624</v>
      </c>
      <c r="Q65" s="33">
        <f t="shared" si="3"/>
        <v>0.71154029785714301</v>
      </c>
      <c r="R65" s="36">
        <v>379.57808496113751</v>
      </c>
      <c r="S65" s="38">
        <v>603</v>
      </c>
      <c r="T65" s="33">
        <f t="shared" si="4"/>
        <v>0.62948272796208538</v>
      </c>
      <c r="U65" s="36">
        <v>435.07043512791523</v>
      </c>
      <c r="V65" s="38">
        <v>618</v>
      </c>
      <c r="W65" s="33">
        <f t="shared" si="5"/>
        <v>0.70399746784452299</v>
      </c>
    </row>
    <row r="66" spans="1:23" x14ac:dyDescent="0.35">
      <c r="A66" s="23" t="s">
        <v>86</v>
      </c>
      <c r="B66" s="23" t="s">
        <v>134</v>
      </c>
      <c r="C66" s="23" t="s">
        <v>137</v>
      </c>
      <c r="E66" s="30">
        <f t="shared" si="6"/>
        <v>0.6157667919357096</v>
      </c>
      <c r="F66" s="36">
        <v>320.78830704857148</v>
      </c>
      <c r="G66" s="38">
        <v>549</v>
      </c>
      <c r="H66" s="33">
        <f t="shared" si="0"/>
        <v>0.58431385619047627</v>
      </c>
      <c r="I66" s="36">
        <v>257.68241058000001</v>
      </c>
      <c r="J66" s="38">
        <v>399</v>
      </c>
      <c r="K66" s="33">
        <f t="shared" si="1"/>
        <v>0.6458205778947369</v>
      </c>
      <c r="L66" s="36">
        <v>245.60354758406248</v>
      </c>
      <c r="M66" s="38">
        <v>427</v>
      </c>
      <c r="N66" s="33">
        <f t="shared" si="2"/>
        <v>0.57518395218749996</v>
      </c>
      <c r="O66" s="36">
        <v>304.35447984321434</v>
      </c>
      <c r="P66" s="38">
        <v>463</v>
      </c>
      <c r="Q66" s="33">
        <f t="shared" si="3"/>
        <v>0.65735308821428584</v>
      </c>
      <c r="R66" s="36">
        <v>241.92255202274882</v>
      </c>
      <c r="S66" s="38">
        <v>416</v>
      </c>
      <c r="T66" s="33">
        <f t="shared" si="4"/>
        <v>0.58154459620853083</v>
      </c>
      <c r="U66" s="36">
        <v>276.41348939045935</v>
      </c>
      <c r="V66" s="38">
        <v>425</v>
      </c>
      <c r="W66" s="33">
        <f t="shared" si="5"/>
        <v>0.65038468091872792</v>
      </c>
    </row>
    <row r="67" spans="1:23" x14ac:dyDescent="0.35">
      <c r="A67" s="23" t="s">
        <v>87</v>
      </c>
      <c r="B67" s="23" t="s">
        <v>134</v>
      </c>
      <c r="C67" s="23" t="s">
        <v>137</v>
      </c>
      <c r="E67" s="30">
        <f t="shared" si="6"/>
        <v>0.65484227846998699</v>
      </c>
      <c r="F67" s="36">
        <v>273.41309348571428</v>
      </c>
      <c r="G67" s="38">
        <v>440</v>
      </c>
      <c r="H67" s="33">
        <f t="shared" ref="H67:H81" si="7">F67/G67</f>
        <v>0.62139339428571427</v>
      </c>
      <c r="I67" s="36">
        <v>344.08841585684206</v>
      </c>
      <c r="J67" s="38">
        <v>501</v>
      </c>
      <c r="K67" s="33">
        <f t="shared" ref="K67:K81" si="8">I67/J67</f>
        <v>0.68680322526315785</v>
      </c>
      <c r="L67" s="36">
        <v>318.68742782249996</v>
      </c>
      <c r="M67" s="38">
        <v>521</v>
      </c>
      <c r="N67" s="33">
        <f t="shared" ref="N67:N81" si="9">L67/M67</f>
        <v>0.61168412249999993</v>
      </c>
      <c r="O67" s="36">
        <v>347.43658158</v>
      </c>
      <c r="P67" s="38">
        <v>497</v>
      </c>
      <c r="Q67" s="33">
        <f t="shared" ref="Q67:Q81" si="10">O67/P67</f>
        <v>0.6990675685714286</v>
      </c>
      <c r="R67" s="36">
        <v>267.16970961895731</v>
      </c>
      <c r="S67" s="38">
        <v>432</v>
      </c>
      <c r="T67" s="33">
        <f t="shared" ref="T67:T81" si="11">R67/S67</f>
        <v>0.61844840189573447</v>
      </c>
      <c r="U67" s="36">
        <v>347.21179306855117</v>
      </c>
      <c r="V67" s="38">
        <v>502</v>
      </c>
      <c r="W67" s="33">
        <f t="shared" ref="W67:W81" si="12">U67/V67</f>
        <v>0.69165695830388685</v>
      </c>
    </row>
    <row r="68" spans="1:23" x14ac:dyDescent="0.35">
      <c r="A68" s="23" t="s">
        <v>88</v>
      </c>
      <c r="B68" s="23" t="s">
        <v>134</v>
      </c>
      <c r="C68" s="23" t="s">
        <v>137</v>
      </c>
      <c r="E68" s="30">
        <f t="shared" ref="E68:E81" si="13">AVERAGE(H68,K68,N68,Q68,T68,W68)</f>
        <v>0.52168923833329572</v>
      </c>
      <c r="F68" s="36">
        <v>283.04343618666667</v>
      </c>
      <c r="G68" s="38">
        <v>571</v>
      </c>
      <c r="H68" s="33">
        <f t="shared" si="7"/>
        <v>0.4956977866666667</v>
      </c>
      <c r="I68" s="36">
        <v>316.12474110736838</v>
      </c>
      <c r="J68" s="38">
        <v>577</v>
      </c>
      <c r="K68" s="33">
        <f t="shared" si="8"/>
        <v>0.54787650105263153</v>
      </c>
      <c r="L68" s="36">
        <v>293.74741026750002</v>
      </c>
      <c r="M68" s="38">
        <v>602</v>
      </c>
      <c r="N68" s="33">
        <f t="shared" si="9"/>
        <v>0.48795250875000001</v>
      </c>
      <c r="O68" s="36">
        <v>331</v>
      </c>
      <c r="P68" s="38">
        <v>598</v>
      </c>
      <c r="Q68" s="33">
        <f t="shared" si="10"/>
        <v>0.55351170568561869</v>
      </c>
      <c r="R68" s="36">
        <v>306.36942350331753</v>
      </c>
      <c r="S68" s="38">
        <v>621</v>
      </c>
      <c r="T68" s="33">
        <f t="shared" si="11"/>
        <v>0.49334850805687203</v>
      </c>
      <c r="U68" s="36">
        <v>332.70429713215543</v>
      </c>
      <c r="V68" s="38">
        <v>603</v>
      </c>
      <c r="W68" s="33">
        <f t="shared" si="12"/>
        <v>0.55174841978798583</v>
      </c>
    </row>
    <row r="69" spans="1:23" x14ac:dyDescent="0.35">
      <c r="A69" s="23" t="s">
        <v>89</v>
      </c>
      <c r="B69" s="23" t="s">
        <v>134</v>
      </c>
      <c r="C69" s="23" t="s">
        <v>137</v>
      </c>
      <c r="E69" s="30">
        <f t="shared" si="13"/>
        <v>0.5979826865970379</v>
      </c>
      <c r="F69" s="36">
        <v>219.59856423428567</v>
      </c>
      <c r="G69" s="38">
        <v>387</v>
      </c>
      <c r="H69" s="33">
        <f t="shared" si="7"/>
        <v>0.56743815047619039</v>
      </c>
      <c r="I69" s="36">
        <v>268.42811034105262</v>
      </c>
      <c r="J69" s="38">
        <v>428</v>
      </c>
      <c r="K69" s="33">
        <f t="shared" si="8"/>
        <v>0.6271684821052631</v>
      </c>
      <c r="L69" s="36">
        <v>226.22163139687495</v>
      </c>
      <c r="M69" s="38">
        <v>405</v>
      </c>
      <c r="N69" s="33">
        <f t="shared" si="9"/>
        <v>0.55857192937499989</v>
      </c>
      <c r="O69" s="36">
        <v>249.60185644071427</v>
      </c>
      <c r="P69" s="38">
        <v>391</v>
      </c>
      <c r="Q69" s="33">
        <f t="shared" si="10"/>
        <v>0.63836791928571424</v>
      </c>
      <c r="R69" s="36">
        <v>213.47507291374404</v>
      </c>
      <c r="S69" s="38">
        <v>378</v>
      </c>
      <c r="T69" s="33">
        <f t="shared" si="11"/>
        <v>0.56474887014218</v>
      </c>
      <c r="U69" s="36">
        <v>264.00912110671374</v>
      </c>
      <c r="V69" s="38">
        <v>418</v>
      </c>
      <c r="W69" s="33">
        <f t="shared" si="12"/>
        <v>0.6316007681978798</v>
      </c>
    </row>
    <row r="70" spans="1:23" x14ac:dyDescent="0.35">
      <c r="A70" s="23" t="s">
        <v>90</v>
      </c>
      <c r="B70" s="23" t="s">
        <v>134</v>
      </c>
      <c r="C70" s="23" t="s">
        <v>137</v>
      </c>
      <c r="E70" s="30">
        <f t="shared" si="13"/>
        <v>0.51976579156132086</v>
      </c>
      <c r="F70" s="36">
        <v>347.42712620571427</v>
      </c>
      <c r="G70" s="38">
        <v>702</v>
      </c>
      <c r="H70" s="33">
        <f t="shared" si="7"/>
        <v>0.4949104361904762</v>
      </c>
      <c r="I70" s="36">
        <v>319.45166260210522</v>
      </c>
      <c r="J70" s="38">
        <v>584</v>
      </c>
      <c r="K70" s="33">
        <f t="shared" si="8"/>
        <v>0.54700627157894732</v>
      </c>
      <c r="L70" s="36">
        <v>308.87051003624998</v>
      </c>
      <c r="M70" s="38">
        <v>634</v>
      </c>
      <c r="N70" s="33">
        <f t="shared" si="9"/>
        <v>0.48717746062499995</v>
      </c>
      <c r="O70" s="36">
        <v>326</v>
      </c>
      <c r="P70" s="38">
        <v>597</v>
      </c>
      <c r="Q70" s="33">
        <f t="shared" si="10"/>
        <v>0.54606365159128978</v>
      </c>
      <c r="R70" s="36">
        <v>308.83818546540283</v>
      </c>
      <c r="S70" s="38">
        <v>627</v>
      </c>
      <c r="T70" s="33">
        <f t="shared" si="11"/>
        <v>0.49256488909952606</v>
      </c>
      <c r="U70" s="36">
        <v>320.05665540424025</v>
      </c>
      <c r="V70" s="38">
        <v>581</v>
      </c>
      <c r="W70" s="33">
        <f t="shared" si="12"/>
        <v>0.55087204028268544</v>
      </c>
    </row>
    <row r="71" spans="1:23" x14ac:dyDescent="0.35">
      <c r="A71" s="23" t="s">
        <v>91</v>
      </c>
      <c r="B71" s="23" t="s">
        <v>134</v>
      </c>
      <c r="C71" s="23" t="s">
        <v>137</v>
      </c>
      <c r="E71" s="30">
        <f t="shared" si="13"/>
        <v>0.59349001200955953</v>
      </c>
      <c r="F71" s="36">
        <v>256.01810255142857</v>
      </c>
      <c r="G71" s="38">
        <v>453</v>
      </c>
      <c r="H71" s="33">
        <f t="shared" si="7"/>
        <v>0.56516137428571434</v>
      </c>
      <c r="I71" s="36">
        <v>376.66518329368421</v>
      </c>
      <c r="J71" s="38">
        <v>603</v>
      </c>
      <c r="K71" s="33">
        <f t="shared" si="8"/>
        <v>0.62465204526315787</v>
      </c>
      <c r="L71" s="36">
        <v>290.40463991812499</v>
      </c>
      <c r="M71" s="38">
        <v>522</v>
      </c>
      <c r="N71" s="33">
        <f t="shared" si="9"/>
        <v>0.55633072781249993</v>
      </c>
      <c r="O71" s="36">
        <v>311</v>
      </c>
      <c r="P71" s="38">
        <v>499</v>
      </c>
      <c r="Q71" s="33">
        <f t="shared" si="10"/>
        <v>0.6232464929859719</v>
      </c>
      <c r="R71" s="36">
        <v>236.8052943156398</v>
      </c>
      <c r="S71" s="38">
        <v>421</v>
      </c>
      <c r="T71" s="33">
        <f t="shared" si="11"/>
        <v>0.56248288436018956</v>
      </c>
      <c r="U71" s="36">
        <v>337.1796693795053</v>
      </c>
      <c r="V71" s="38">
        <v>536</v>
      </c>
      <c r="W71" s="33">
        <f t="shared" si="12"/>
        <v>0.62906654734982337</v>
      </c>
    </row>
    <row r="72" spans="1:23" x14ac:dyDescent="0.35">
      <c r="A72" s="23" t="s">
        <v>93</v>
      </c>
      <c r="B72" s="23" t="s">
        <v>135</v>
      </c>
      <c r="C72" s="23" t="s">
        <v>137</v>
      </c>
      <c r="E72" s="30">
        <f t="shared" si="13"/>
        <v>0.61483766636790926</v>
      </c>
      <c r="F72" s="36">
        <v>290.90277761999999</v>
      </c>
      <c r="G72" s="38">
        <v>497</v>
      </c>
      <c r="H72" s="33">
        <f t="shared" si="7"/>
        <v>0.58531745999999996</v>
      </c>
      <c r="I72" s="36">
        <v>341</v>
      </c>
      <c r="J72" s="38">
        <v>537</v>
      </c>
      <c r="K72" s="33">
        <f t="shared" si="8"/>
        <v>0.63500931098696467</v>
      </c>
      <c r="L72" s="36">
        <v>347.43164043656247</v>
      </c>
      <c r="M72" s="38">
        <v>603</v>
      </c>
      <c r="N72" s="33">
        <f t="shared" si="9"/>
        <v>0.57617187468749997</v>
      </c>
      <c r="O72" s="36">
        <v>340.4352676725</v>
      </c>
      <c r="P72" s="38">
        <v>517</v>
      </c>
      <c r="Q72" s="33">
        <f t="shared" si="10"/>
        <v>0.65848214250000003</v>
      </c>
      <c r="R72" s="36">
        <v>273.2128750492891</v>
      </c>
      <c r="S72" s="38">
        <v>469</v>
      </c>
      <c r="T72" s="33">
        <f t="shared" si="11"/>
        <v>0.58254344360189569</v>
      </c>
      <c r="U72" s="36">
        <v>332.91740264628976</v>
      </c>
      <c r="V72" s="38">
        <v>511</v>
      </c>
      <c r="W72" s="33">
        <f t="shared" si="12"/>
        <v>0.65150176643109536</v>
      </c>
    </row>
    <row r="73" spans="1:23" x14ac:dyDescent="0.35">
      <c r="A73" s="23" t="s">
        <v>94</v>
      </c>
      <c r="B73" s="23" t="s">
        <v>135</v>
      </c>
      <c r="C73" s="23" t="s">
        <v>137</v>
      </c>
      <c r="E73" s="30">
        <f t="shared" si="13"/>
        <v>0.57016038096608457</v>
      </c>
      <c r="F73" s="36">
        <v>231.28787895999997</v>
      </c>
      <c r="G73" s="38">
        <v>426</v>
      </c>
      <c r="H73" s="33">
        <f t="shared" si="7"/>
        <v>0.54292929333333328</v>
      </c>
      <c r="I73" s="36">
        <v>287</v>
      </c>
      <c r="J73" s="38">
        <v>488</v>
      </c>
      <c r="K73" s="33">
        <f t="shared" si="8"/>
        <v>0.58811475409836067</v>
      </c>
      <c r="L73" s="36">
        <v>242.10404847562501</v>
      </c>
      <c r="M73" s="38">
        <v>453</v>
      </c>
      <c r="N73" s="33">
        <f t="shared" si="9"/>
        <v>0.534446023125</v>
      </c>
      <c r="O73" s="36">
        <v>309.67329568499997</v>
      </c>
      <c r="P73" s="38">
        <v>507</v>
      </c>
      <c r="Q73" s="33">
        <f t="shared" si="10"/>
        <v>0.61079545499999999</v>
      </c>
      <c r="R73" s="36">
        <v>209.11783729478674</v>
      </c>
      <c r="S73" s="38">
        <v>387</v>
      </c>
      <c r="T73" s="33">
        <f t="shared" si="11"/>
        <v>0.54035616872037917</v>
      </c>
      <c r="U73" s="36">
        <v>258.64921317031803</v>
      </c>
      <c r="V73" s="38">
        <v>428</v>
      </c>
      <c r="W73" s="33">
        <f t="shared" si="12"/>
        <v>0.60432059151943462</v>
      </c>
    </row>
    <row r="74" spans="1:23" x14ac:dyDescent="0.35">
      <c r="A74" s="23" t="s">
        <v>95</v>
      </c>
      <c r="B74" s="23" t="s">
        <v>135</v>
      </c>
      <c r="C74" s="23" t="s">
        <v>137</v>
      </c>
      <c r="E74" s="30">
        <f t="shared" si="13"/>
        <v>0.54861485096507101</v>
      </c>
      <c r="F74" s="36">
        <v>207.5734043742857</v>
      </c>
      <c r="G74" s="38">
        <v>397</v>
      </c>
      <c r="H74" s="33">
        <f t="shared" si="7"/>
        <v>0.52285492285714286</v>
      </c>
      <c r="I74" s="36">
        <v>195</v>
      </c>
      <c r="J74" s="38">
        <v>346</v>
      </c>
      <c r="K74" s="33">
        <f t="shared" si="8"/>
        <v>0.56358381502890176</v>
      </c>
      <c r="L74" s="36">
        <v>209.99160839250001</v>
      </c>
      <c r="M74" s="38">
        <v>408</v>
      </c>
      <c r="N74" s="33">
        <f t="shared" si="9"/>
        <v>0.51468531468750001</v>
      </c>
      <c r="O74" s="36">
        <v>215.28551448642858</v>
      </c>
      <c r="P74" s="38">
        <v>366</v>
      </c>
      <c r="Q74" s="33">
        <f t="shared" si="10"/>
        <v>0.58821178821428577</v>
      </c>
      <c r="R74" s="36">
        <v>203.46738253933648</v>
      </c>
      <c r="S74" s="38">
        <v>391</v>
      </c>
      <c r="T74" s="33">
        <f t="shared" si="11"/>
        <v>0.5203769374407583</v>
      </c>
      <c r="U74" s="36">
        <v>245.01203390353359</v>
      </c>
      <c r="V74" s="38">
        <v>421</v>
      </c>
      <c r="W74" s="33">
        <f t="shared" si="12"/>
        <v>0.58197632756183748</v>
      </c>
    </row>
    <row r="75" spans="1:23" x14ac:dyDescent="0.35">
      <c r="A75" s="23" t="s">
        <v>96</v>
      </c>
      <c r="B75" s="23" t="s">
        <v>135</v>
      </c>
      <c r="C75" s="23" t="s">
        <v>137</v>
      </c>
      <c r="E75" s="30">
        <f t="shared" si="13"/>
        <v>0.6097910153408862</v>
      </c>
      <c r="F75" s="36">
        <v>300.84523830666666</v>
      </c>
      <c r="G75" s="38">
        <v>518</v>
      </c>
      <c r="H75" s="33">
        <f t="shared" si="7"/>
        <v>0.5807823133333333</v>
      </c>
      <c r="I75" s="36">
        <v>301</v>
      </c>
      <c r="J75" s="38">
        <v>479</v>
      </c>
      <c r="K75" s="33">
        <f t="shared" si="8"/>
        <v>0.62839248434237993</v>
      </c>
      <c r="L75" s="36">
        <v>290.99916315093748</v>
      </c>
      <c r="M75" s="38">
        <v>509</v>
      </c>
      <c r="N75" s="33">
        <f t="shared" si="9"/>
        <v>0.57170758968749991</v>
      </c>
      <c r="O75" s="36">
        <v>326.03667114749999</v>
      </c>
      <c r="P75" s="38">
        <v>499</v>
      </c>
      <c r="Q75" s="33">
        <f t="shared" si="10"/>
        <v>0.6533801025</v>
      </c>
      <c r="R75" s="36">
        <v>293.06110379431277</v>
      </c>
      <c r="S75" s="38">
        <v>507</v>
      </c>
      <c r="T75" s="33">
        <f t="shared" si="11"/>
        <v>0.57802979052132697</v>
      </c>
      <c r="U75" s="36">
        <v>282.5003156957597</v>
      </c>
      <c r="V75" s="38">
        <v>437</v>
      </c>
      <c r="W75" s="33">
        <f t="shared" si="12"/>
        <v>0.64645381166077731</v>
      </c>
    </row>
    <row r="76" spans="1:23" x14ac:dyDescent="0.35">
      <c r="A76" s="23" t="s">
        <v>97</v>
      </c>
      <c r="B76" s="23" t="s">
        <v>135</v>
      </c>
      <c r="C76" s="23" t="s">
        <v>137</v>
      </c>
      <c r="E76" s="30">
        <f t="shared" si="13"/>
        <v>0.47028897707778244</v>
      </c>
      <c r="F76" s="36">
        <v>270.42682038095239</v>
      </c>
      <c r="G76" s="38">
        <v>604</v>
      </c>
      <c r="H76" s="33">
        <f t="shared" si="7"/>
        <v>0.44772652380952382</v>
      </c>
      <c r="I76" s="36">
        <v>272</v>
      </c>
      <c r="J76" s="38">
        <v>554</v>
      </c>
      <c r="K76" s="33">
        <f t="shared" si="8"/>
        <v>0.49097472924187724</v>
      </c>
      <c r="L76" s="36">
        <v>269.28651689062502</v>
      </c>
      <c r="M76" s="38">
        <v>611</v>
      </c>
      <c r="N76" s="33">
        <f t="shared" si="9"/>
        <v>0.44073079687500005</v>
      </c>
      <c r="O76" s="36">
        <v>301</v>
      </c>
      <c r="P76" s="38">
        <v>604</v>
      </c>
      <c r="Q76" s="33">
        <f t="shared" si="10"/>
        <v>0.49834437086092714</v>
      </c>
      <c r="R76" s="36">
        <v>255.77703876777252</v>
      </c>
      <c r="S76" s="38">
        <v>574</v>
      </c>
      <c r="T76" s="33">
        <f t="shared" si="11"/>
        <v>0.44560459715639811</v>
      </c>
      <c r="U76" s="36">
        <v>274.59241733215549</v>
      </c>
      <c r="V76" s="38">
        <v>551</v>
      </c>
      <c r="W76" s="33">
        <f t="shared" si="12"/>
        <v>0.49835284452296824</v>
      </c>
    </row>
    <row r="77" spans="1:23" x14ac:dyDescent="0.35">
      <c r="A77" s="23" t="s">
        <v>98</v>
      </c>
      <c r="B77" s="23" t="s">
        <v>135</v>
      </c>
      <c r="C77" s="23" t="s">
        <v>137</v>
      </c>
      <c r="E77" s="30">
        <f t="shared" si="13"/>
        <v>0.63192744216445151</v>
      </c>
      <c r="F77" s="36">
        <v>318.03346792761909</v>
      </c>
      <c r="G77" s="38">
        <v>529</v>
      </c>
      <c r="H77" s="33">
        <f t="shared" si="7"/>
        <v>0.60119748190476197</v>
      </c>
      <c r="I77" s="36">
        <v>328</v>
      </c>
      <c r="J77" s="38">
        <v>501</v>
      </c>
      <c r="K77" s="33">
        <f t="shared" si="8"/>
        <v>0.65469061876247503</v>
      </c>
      <c r="L77" s="36">
        <v>339.69536469749994</v>
      </c>
      <c r="M77" s="38">
        <v>574</v>
      </c>
      <c r="N77" s="33">
        <f t="shared" si="9"/>
        <v>0.59180377124999994</v>
      </c>
      <c r="O77" s="36">
        <v>332.76280623428579</v>
      </c>
      <c r="P77" s="38">
        <v>492</v>
      </c>
      <c r="Q77" s="33">
        <f t="shared" si="10"/>
        <v>0.67634716714285725</v>
      </c>
      <c r="R77" s="36">
        <v>275.83852238483411</v>
      </c>
      <c r="S77" s="38">
        <v>461</v>
      </c>
      <c r="T77" s="33">
        <f t="shared" si="11"/>
        <v>0.59834820473933648</v>
      </c>
      <c r="U77" s="36">
        <v>352.65649464169616</v>
      </c>
      <c r="V77" s="38">
        <v>527</v>
      </c>
      <c r="W77" s="33">
        <f t="shared" si="12"/>
        <v>0.66917740918727919</v>
      </c>
    </row>
    <row r="78" spans="1:23" x14ac:dyDescent="0.35">
      <c r="A78" s="23" t="s">
        <v>99</v>
      </c>
      <c r="B78" s="23" t="s">
        <v>135</v>
      </c>
      <c r="C78" s="23" t="s">
        <v>137</v>
      </c>
      <c r="E78" s="30">
        <f t="shared" si="13"/>
        <v>0.50039944114962764</v>
      </c>
      <c r="F78" s="36">
        <v>235.49430292761906</v>
      </c>
      <c r="G78" s="38">
        <v>494</v>
      </c>
      <c r="H78" s="33">
        <f t="shared" si="7"/>
        <v>0.47670911523809528</v>
      </c>
      <c r="I78" s="36">
        <v>300.8536316221053</v>
      </c>
      <c r="J78" s="38">
        <v>571</v>
      </c>
      <c r="K78" s="33">
        <f t="shared" si="8"/>
        <v>0.52688902210526323</v>
      </c>
      <c r="L78" s="36">
        <v>250.58512585687501</v>
      </c>
      <c r="M78" s="38">
        <v>534</v>
      </c>
      <c r="N78" s="33">
        <f t="shared" si="9"/>
        <v>0.4692605353125</v>
      </c>
      <c r="O78" s="36">
        <v>300</v>
      </c>
      <c r="P78" s="38">
        <v>572</v>
      </c>
      <c r="Q78" s="33">
        <f t="shared" si="10"/>
        <v>0.52447552447552448</v>
      </c>
      <c r="R78" s="36">
        <v>249.56061075450239</v>
      </c>
      <c r="S78" s="38">
        <v>526</v>
      </c>
      <c r="T78" s="33">
        <f t="shared" si="11"/>
        <v>0.47444983033175359</v>
      </c>
      <c r="U78" s="36">
        <v>258.40834566466435</v>
      </c>
      <c r="V78" s="38">
        <v>487</v>
      </c>
      <c r="W78" s="33">
        <f t="shared" si="12"/>
        <v>0.53061261943462901</v>
      </c>
    </row>
    <row r="79" spans="1:23" x14ac:dyDescent="0.35">
      <c r="A79" s="23" t="s">
        <v>100</v>
      </c>
      <c r="B79" s="23" t="s">
        <v>135</v>
      </c>
      <c r="C79" s="23" t="s">
        <v>137</v>
      </c>
      <c r="E79" s="30">
        <f t="shared" si="13"/>
        <v>0.56771077731902009</v>
      </c>
      <c r="F79" s="36">
        <v>288.4371111257143</v>
      </c>
      <c r="G79" s="38">
        <v>534</v>
      </c>
      <c r="H79" s="33">
        <f t="shared" si="7"/>
        <v>0.54014440285714282</v>
      </c>
      <c r="I79" s="36">
        <v>361</v>
      </c>
      <c r="J79" s="38">
        <v>614</v>
      </c>
      <c r="K79" s="33">
        <f t="shared" si="8"/>
        <v>0.58794788273615639</v>
      </c>
      <c r="L79" s="36">
        <v>336.56904127406244</v>
      </c>
      <c r="M79" s="38">
        <v>633</v>
      </c>
      <c r="N79" s="33">
        <f t="shared" si="9"/>
        <v>0.53170464656249994</v>
      </c>
      <c r="O79" s="36">
        <v>351.22889795785716</v>
      </c>
      <c r="P79" s="38">
        <v>578</v>
      </c>
      <c r="Q79" s="33">
        <f t="shared" si="10"/>
        <v>0.60766245321428569</v>
      </c>
      <c r="R79" s="36">
        <v>269.32982286540283</v>
      </c>
      <c r="S79" s="38">
        <v>501</v>
      </c>
      <c r="T79" s="33">
        <f t="shared" si="11"/>
        <v>0.53758447677725119</v>
      </c>
      <c r="U79" s="36">
        <v>362.53614346537097</v>
      </c>
      <c r="V79" s="38">
        <v>603</v>
      </c>
      <c r="W79" s="33">
        <f t="shared" si="12"/>
        <v>0.60122080176678439</v>
      </c>
    </row>
    <row r="80" spans="1:23" x14ac:dyDescent="0.35">
      <c r="A80" s="23" t="s">
        <v>101</v>
      </c>
      <c r="B80" s="23" t="s">
        <v>135</v>
      </c>
      <c r="C80" s="23" t="s">
        <v>137</v>
      </c>
      <c r="E80" s="30">
        <f t="shared" si="13"/>
        <v>0.46641919542640586</v>
      </c>
      <c r="F80" s="36">
        <v>167.08095674666669</v>
      </c>
      <c r="G80" s="38">
        <v>376</v>
      </c>
      <c r="H80" s="33">
        <f t="shared" si="7"/>
        <v>0.44436424666666674</v>
      </c>
      <c r="I80" s="36">
        <v>201.85830594631577</v>
      </c>
      <c r="J80" s="38">
        <v>411</v>
      </c>
      <c r="K80" s="33">
        <f t="shared" si="8"/>
        <v>0.49113943052631576</v>
      </c>
      <c r="L80" s="36">
        <v>191.15300117156249</v>
      </c>
      <c r="M80" s="38">
        <v>437</v>
      </c>
      <c r="N80" s="33">
        <f t="shared" si="9"/>
        <v>0.43742105531249997</v>
      </c>
      <c r="O80" s="36">
        <v>195</v>
      </c>
      <c r="P80" s="38">
        <v>399</v>
      </c>
      <c r="Q80" s="33">
        <f t="shared" si="10"/>
        <v>0.48872180451127817</v>
      </c>
      <c r="R80" s="36">
        <v>181.76814279526064</v>
      </c>
      <c r="S80" s="38">
        <v>411</v>
      </c>
      <c r="T80" s="33">
        <f t="shared" si="11"/>
        <v>0.44225825497630328</v>
      </c>
      <c r="U80" s="36">
        <v>189.93038613710246</v>
      </c>
      <c r="V80" s="38">
        <v>384</v>
      </c>
      <c r="W80" s="33">
        <f t="shared" si="12"/>
        <v>0.49461038056537099</v>
      </c>
    </row>
    <row r="81" spans="1:23" x14ac:dyDescent="0.35">
      <c r="A81" s="23" t="s">
        <v>102</v>
      </c>
      <c r="B81" s="23" t="s">
        <v>135</v>
      </c>
      <c r="C81" s="23" t="s">
        <v>137</v>
      </c>
      <c r="E81" s="30">
        <f t="shared" si="13"/>
        <v>0.4692805595341451</v>
      </c>
      <c r="F81" s="36">
        <v>200.21655680000001</v>
      </c>
      <c r="G81" s="38">
        <v>448</v>
      </c>
      <c r="H81" s="33">
        <f t="shared" si="7"/>
        <v>0.44691195714285714</v>
      </c>
      <c r="I81" s="36">
        <v>196.10026245789473</v>
      </c>
      <c r="J81" s="38">
        <v>397</v>
      </c>
      <c r="K81" s="33">
        <f t="shared" si="8"/>
        <v>0.49395532105263157</v>
      </c>
      <c r="L81" s="36">
        <v>187.84966498593749</v>
      </c>
      <c r="M81" s="38">
        <v>427</v>
      </c>
      <c r="N81" s="33">
        <f t="shared" si="9"/>
        <v>0.43992895781249997</v>
      </c>
      <c r="O81" s="36">
        <v>201</v>
      </c>
      <c r="P81" s="38">
        <v>408</v>
      </c>
      <c r="Q81" s="33">
        <f t="shared" si="10"/>
        <v>0.49264705882352944</v>
      </c>
      <c r="R81" s="36">
        <v>214.83544935071092</v>
      </c>
      <c r="S81" s="38">
        <v>483</v>
      </c>
      <c r="T81" s="33">
        <f t="shared" si="11"/>
        <v>0.44479389099526068</v>
      </c>
      <c r="U81" s="36">
        <v>195.99379152296817</v>
      </c>
      <c r="V81" s="38">
        <v>394</v>
      </c>
      <c r="W81" s="33">
        <f t="shared" si="12"/>
        <v>0.49744617137809177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Filtered Total Counts (CV&lt;.10)</vt:lpstr>
      <vt:lpstr>Filtered Total Counts (CV&lt;.15)</vt:lpstr>
      <vt:lpstr>Total Cell Counts</vt:lpstr>
      <vt:lpstr>Neuron to Glia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Stec, Helen</dc:creator>
  <cp:lastModifiedBy>Stec, Helen</cp:lastModifiedBy>
  <dcterms:created xsi:type="dcterms:W3CDTF">2025-03-14T12:31:46Z</dcterms:created>
  <dcterms:modified xsi:type="dcterms:W3CDTF">2026-01-20T18:26:47Z</dcterms:modified>
</cp:coreProperties>
</file>