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GitHub\BrainGonadTradeoff\Data\"/>
    </mc:Choice>
  </mc:AlternateContent>
  <xr:revisionPtr revIDLastSave="0" documentId="8_{BE143D8B-F7BD-44CF-BECC-15D9FFE5AB42}" xr6:coauthVersionLast="47" xr6:coauthVersionMax="47" xr10:uidLastSave="{00000000-0000-0000-0000-000000000000}"/>
  <bookViews>
    <workbookView xWindow="-110" yWindow="-110" windowWidth="25820" windowHeight="15500" xr2:uid="{28D5BC68-6520-4706-937E-E455D027B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1" i="1" l="1"/>
  <c r="T81" i="1"/>
  <c r="Q81" i="1"/>
  <c r="N81" i="1"/>
  <c r="K81" i="1"/>
  <c r="H81" i="1"/>
  <c r="E81" i="1" s="1"/>
  <c r="W80" i="1"/>
  <c r="T80" i="1"/>
  <c r="Q80" i="1"/>
  <c r="N80" i="1"/>
  <c r="K80" i="1"/>
  <c r="H80" i="1"/>
  <c r="E80" i="1" s="1"/>
  <c r="W79" i="1"/>
  <c r="T79" i="1"/>
  <c r="Q79" i="1"/>
  <c r="N79" i="1"/>
  <c r="K79" i="1"/>
  <c r="H79" i="1"/>
  <c r="E79" i="1" s="1"/>
  <c r="W78" i="1"/>
  <c r="T78" i="1"/>
  <c r="Q78" i="1"/>
  <c r="N78" i="1"/>
  <c r="K78" i="1"/>
  <c r="H78" i="1"/>
  <c r="E78" i="1"/>
  <c r="W77" i="1"/>
  <c r="E77" i="1" s="1"/>
  <c r="T77" i="1"/>
  <c r="Q77" i="1"/>
  <c r="N77" i="1"/>
  <c r="K77" i="1"/>
  <c r="H77" i="1"/>
  <c r="W76" i="1"/>
  <c r="T76" i="1"/>
  <c r="E76" i="1" s="1"/>
  <c r="Q76" i="1"/>
  <c r="N76" i="1"/>
  <c r="K76" i="1"/>
  <c r="H76" i="1"/>
  <c r="W75" i="1"/>
  <c r="T75" i="1"/>
  <c r="Q75" i="1"/>
  <c r="N75" i="1"/>
  <c r="E75" i="1" s="1"/>
  <c r="K75" i="1"/>
  <c r="H75" i="1"/>
  <c r="W74" i="1"/>
  <c r="T74" i="1"/>
  <c r="Q74" i="1"/>
  <c r="N74" i="1"/>
  <c r="K74" i="1"/>
  <c r="H74" i="1"/>
  <c r="E74" i="1" s="1"/>
  <c r="W73" i="1"/>
  <c r="T73" i="1"/>
  <c r="Q73" i="1"/>
  <c r="N73" i="1"/>
  <c r="K73" i="1"/>
  <c r="H73" i="1"/>
  <c r="E73" i="1" s="1"/>
  <c r="W72" i="1"/>
  <c r="T72" i="1"/>
  <c r="Q72" i="1"/>
  <c r="N72" i="1"/>
  <c r="K72" i="1"/>
  <c r="H72" i="1"/>
  <c r="E72" i="1" s="1"/>
  <c r="W71" i="1"/>
  <c r="T71" i="1"/>
  <c r="Q71" i="1"/>
  <c r="N71" i="1"/>
  <c r="K71" i="1"/>
  <c r="H71" i="1"/>
  <c r="E71" i="1" s="1"/>
  <c r="W70" i="1"/>
  <c r="T70" i="1"/>
  <c r="Q70" i="1"/>
  <c r="N70" i="1"/>
  <c r="K70" i="1"/>
  <c r="H70" i="1"/>
  <c r="E70" i="1"/>
  <c r="W69" i="1"/>
  <c r="E69" i="1" s="1"/>
  <c r="T69" i="1"/>
  <c r="Q69" i="1"/>
  <c r="N69" i="1"/>
  <c r="K69" i="1"/>
  <c r="H69" i="1"/>
  <c r="W68" i="1"/>
  <c r="T68" i="1"/>
  <c r="E68" i="1" s="1"/>
  <c r="Q68" i="1"/>
  <c r="N68" i="1"/>
  <c r="K68" i="1"/>
  <c r="H68" i="1"/>
  <c r="W67" i="1"/>
  <c r="T67" i="1"/>
  <c r="Q67" i="1"/>
  <c r="N67" i="1"/>
  <c r="E67" i="1" s="1"/>
  <c r="K67" i="1"/>
  <c r="H67" i="1"/>
  <c r="W66" i="1"/>
  <c r="T66" i="1"/>
  <c r="Q66" i="1"/>
  <c r="N66" i="1"/>
  <c r="K66" i="1"/>
  <c r="H66" i="1"/>
  <c r="E66" i="1" s="1"/>
  <c r="W65" i="1"/>
  <c r="T65" i="1"/>
  <c r="Q65" i="1"/>
  <c r="N65" i="1"/>
  <c r="K65" i="1"/>
  <c r="H65" i="1"/>
  <c r="E65" i="1" s="1"/>
  <c r="W64" i="1"/>
  <c r="T64" i="1"/>
  <c r="Q64" i="1"/>
  <c r="N64" i="1"/>
  <c r="K64" i="1"/>
  <c r="H64" i="1"/>
  <c r="E64" i="1" s="1"/>
  <c r="W63" i="1"/>
  <c r="T63" i="1"/>
  <c r="Q63" i="1"/>
  <c r="N63" i="1"/>
  <c r="K63" i="1"/>
  <c r="H63" i="1"/>
  <c r="E63" i="1" s="1"/>
  <c r="W62" i="1"/>
  <c r="T62" i="1"/>
  <c r="Q62" i="1"/>
  <c r="N62" i="1"/>
  <c r="K62" i="1"/>
  <c r="H62" i="1"/>
  <c r="E62" i="1"/>
  <c r="W61" i="1"/>
  <c r="E61" i="1" s="1"/>
  <c r="T61" i="1"/>
  <c r="Q61" i="1"/>
  <c r="N61" i="1"/>
  <c r="K61" i="1"/>
  <c r="H61" i="1"/>
  <c r="W60" i="1"/>
  <c r="T60" i="1"/>
  <c r="E60" i="1" s="1"/>
  <c r="Q60" i="1"/>
  <c r="N60" i="1"/>
  <c r="K60" i="1"/>
  <c r="H60" i="1"/>
  <c r="W59" i="1"/>
  <c r="T59" i="1"/>
  <c r="Q59" i="1"/>
  <c r="N59" i="1"/>
  <c r="E59" i="1" s="1"/>
  <c r="K59" i="1"/>
  <c r="H59" i="1"/>
  <c r="W58" i="1"/>
  <c r="T58" i="1"/>
  <c r="Q58" i="1"/>
  <c r="N58" i="1"/>
  <c r="K58" i="1"/>
  <c r="H58" i="1"/>
  <c r="E58" i="1" s="1"/>
  <c r="W57" i="1"/>
  <c r="T57" i="1"/>
  <c r="Q57" i="1"/>
  <c r="N57" i="1"/>
  <c r="K57" i="1"/>
  <c r="H57" i="1"/>
  <c r="E57" i="1" s="1"/>
  <c r="W56" i="1"/>
  <c r="T56" i="1"/>
  <c r="Q56" i="1"/>
  <c r="N56" i="1"/>
  <c r="K56" i="1"/>
  <c r="H56" i="1"/>
  <c r="E56" i="1" s="1"/>
  <c r="W55" i="1"/>
  <c r="T55" i="1"/>
  <c r="Q55" i="1"/>
  <c r="N55" i="1"/>
  <c r="K55" i="1"/>
  <c r="H55" i="1"/>
  <c r="E55" i="1" s="1"/>
  <c r="W54" i="1"/>
  <c r="T54" i="1"/>
  <c r="Q54" i="1"/>
  <c r="N54" i="1"/>
  <c r="K54" i="1"/>
  <c r="H54" i="1"/>
  <c r="E54" i="1"/>
  <c r="W53" i="1"/>
  <c r="E53" i="1" s="1"/>
  <c r="T53" i="1"/>
  <c r="Q53" i="1"/>
  <c r="N53" i="1"/>
  <c r="K53" i="1"/>
  <c r="H53" i="1"/>
  <c r="W52" i="1"/>
  <c r="T52" i="1"/>
  <c r="E52" i="1" s="1"/>
  <c r="Q52" i="1"/>
  <c r="N52" i="1"/>
  <c r="K52" i="1"/>
  <c r="H52" i="1"/>
  <c r="W51" i="1"/>
  <c r="T51" i="1"/>
  <c r="Q51" i="1"/>
  <c r="N51" i="1"/>
  <c r="E51" i="1" s="1"/>
  <c r="K51" i="1"/>
  <c r="H51" i="1"/>
  <c r="W50" i="1"/>
  <c r="T50" i="1"/>
  <c r="Q50" i="1"/>
  <c r="N50" i="1"/>
  <c r="K50" i="1"/>
  <c r="H50" i="1"/>
  <c r="E50" i="1" s="1"/>
  <c r="W49" i="1"/>
  <c r="T49" i="1"/>
  <c r="Q49" i="1"/>
  <c r="N49" i="1"/>
  <c r="K49" i="1"/>
  <c r="H49" i="1"/>
  <c r="E49" i="1" s="1"/>
  <c r="W48" i="1"/>
  <c r="T48" i="1"/>
  <c r="Q48" i="1"/>
  <c r="N48" i="1"/>
  <c r="K48" i="1"/>
  <c r="H48" i="1"/>
  <c r="E48" i="1" s="1"/>
  <c r="W47" i="1"/>
  <c r="T47" i="1"/>
  <c r="Q47" i="1"/>
  <c r="N47" i="1"/>
  <c r="K47" i="1"/>
  <c r="H47" i="1"/>
  <c r="E47" i="1" s="1"/>
  <c r="W46" i="1"/>
  <c r="T46" i="1"/>
  <c r="Q46" i="1"/>
  <c r="N46" i="1"/>
  <c r="K46" i="1"/>
  <c r="H46" i="1"/>
  <c r="E46" i="1"/>
  <c r="W45" i="1"/>
  <c r="E45" i="1" s="1"/>
  <c r="T45" i="1"/>
  <c r="Q45" i="1"/>
  <c r="N45" i="1"/>
  <c r="K45" i="1"/>
  <c r="H45" i="1"/>
  <c r="W44" i="1"/>
  <c r="T44" i="1"/>
  <c r="E44" i="1" s="1"/>
  <c r="Q44" i="1"/>
  <c r="N44" i="1"/>
  <c r="K44" i="1"/>
  <c r="H44" i="1"/>
  <c r="W43" i="1"/>
  <c r="T43" i="1"/>
  <c r="Q43" i="1"/>
  <c r="N43" i="1"/>
  <c r="E43" i="1" s="1"/>
  <c r="K43" i="1"/>
  <c r="H43" i="1"/>
  <c r="W42" i="1"/>
  <c r="T42" i="1"/>
  <c r="Q42" i="1"/>
  <c r="N42" i="1"/>
  <c r="K42" i="1"/>
  <c r="H42" i="1"/>
  <c r="E42" i="1" s="1"/>
  <c r="W41" i="1"/>
  <c r="T41" i="1"/>
  <c r="Q41" i="1"/>
  <c r="N41" i="1"/>
  <c r="K41" i="1"/>
  <c r="H41" i="1"/>
  <c r="E41" i="1" s="1"/>
  <c r="W40" i="1"/>
  <c r="T40" i="1"/>
  <c r="Q40" i="1"/>
  <c r="N40" i="1"/>
  <c r="K40" i="1"/>
  <c r="H40" i="1"/>
  <c r="E40" i="1" s="1"/>
  <c r="W39" i="1"/>
  <c r="T39" i="1"/>
  <c r="Q39" i="1"/>
  <c r="N39" i="1"/>
  <c r="K39" i="1"/>
  <c r="H39" i="1"/>
  <c r="E39" i="1" s="1"/>
  <c r="W38" i="1"/>
  <c r="T38" i="1"/>
  <c r="Q38" i="1"/>
  <c r="N38" i="1"/>
  <c r="K38" i="1"/>
  <c r="H38" i="1"/>
  <c r="E38" i="1"/>
  <c r="W37" i="1"/>
  <c r="E37" i="1" s="1"/>
  <c r="T37" i="1"/>
  <c r="Q37" i="1"/>
  <c r="N37" i="1"/>
  <c r="K37" i="1"/>
  <c r="H37" i="1"/>
  <c r="W36" i="1"/>
  <c r="T36" i="1"/>
  <c r="E36" i="1" s="1"/>
  <c r="Q36" i="1"/>
  <c r="N36" i="1"/>
  <c r="K36" i="1"/>
  <c r="H36" i="1"/>
  <c r="W35" i="1"/>
  <c r="T35" i="1"/>
  <c r="Q35" i="1"/>
  <c r="N35" i="1"/>
  <c r="E35" i="1" s="1"/>
  <c r="K35" i="1"/>
  <c r="H35" i="1"/>
  <c r="W34" i="1"/>
  <c r="T34" i="1"/>
  <c r="Q34" i="1"/>
  <c r="N34" i="1"/>
  <c r="K34" i="1"/>
  <c r="H34" i="1"/>
  <c r="E34" i="1" s="1"/>
  <c r="W33" i="1"/>
  <c r="T33" i="1"/>
  <c r="Q33" i="1"/>
  <c r="N33" i="1"/>
  <c r="K33" i="1"/>
  <c r="H33" i="1"/>
  <c r="E33" i="1" s="1"/>
  <c r="W32" i="1"/>
  <c r="T32" i="1"/>
  <c r="Q32" i="1"/>
  <c r="N32" i="1"/>
  <c r="K32" i="1"/>
  <c r="H32" i="1"/>
  <c r="E32" i="1" s="1"/>
  <c r="W31" i="1"/>
  <c r="T31" i="1"/>
  <c r="Q31" i="1"/>
  <c r="N31" i="1"/>
  <c r="K31" i="1"/>
  <c r="H31" i="1"/>
  <c r="E31" i="1" s="1"/>
  <c r="W30" i="1"/>
  <c r="T30" i="1"/>
  <c r="Q30" i="1"/>
  <c r="N30" i="1"/>
  <c r="K30" i="1"/>
  <c r="H30" i="1"/>
  <c r="E30" i="1"/>
  <c r="W29" i="1"/>
  <c r="E29" i="1" s="1"/>
  <c r="T29" i="1"/>
  <c r="Q29" i="1"/>
  <c r="N29" i="1"/>
  <c r="K29" i="1"/>
  <c r="H29" i="1"/>
  <c r="W28" i="1"/>
  <c r="T28" i="1"/>
  <c r="E28" i="1" s="1"/>
  <c r="Q28" i="1"/>
  <c r="N28" i="1"/>
  <c r="K28" i="1"/>
  <c r="H28" i="1"/>
  <c r="W27" i="1"/>
  <c r="T27" i="1"/>
  <c r="Q27" i="1"/>
  <c r="N27" i="1"/>
  <c r="E27" i="1" s="1"/>
  <c r="K27" i="1"/>
  <c r="H27" i="1"/>
  <c r="W26" i="1"/>
  <c r="T26" i="1"/>
  <c r="Q26" i="1"/>
  <c r="N26" i="1"/>
  <c r="K26" i="1"/>
  <c r="H26" i="1"/>
  <c r="E26" i="1" s="1"/>
  <c r="W25" i="1"/>
  <c r="T25" i="1"/>
  <c r="Q25" i="1"/>
  <c r="N25" i="1"/>
  <c r="K25" i="1"/>
  <c r="H25" i="1"/>
  <c r="E25" i="1" s="1"/>
  <c r="W24" i="1"/>
  <c r="T24" i="1"/>
  <c r="Q24" i="1"/>
  <c r="N24" i="1"/>
  <c r="K24" i="1"/>
  <c r="H24" i="1"/>
  <c r="E24" i="1" s="1"/>
  <c r="W23" i="1"/>
  <c r="T23" i="1"/>
  <c r="Q23" i="1"/>
  <c r="N23" i="1"/>
  <c r="K23" i="1"/>
  <c r="H23" i="1"/>
  <c r="E23" i="1" s="1"/>
  <c r="W22" i="1"/>
  <c r="T22" i="1"/>
  <c r="Q22" i="1"/>
  <c r="N22" i="1"/>
  <c r="K22" i="1"/>
  <c r="H22" i="1"/>
  <c r="E22" i="1"/>
  <c r="W21" i="1"/>
  <c r="E21" i="1" s="1"/>
  <c r="T21" i="1"/>
  <c r="Q21" i="1"/>
  <c r="N21" i="1"/>
  <c r="K21" i="1"/>
  <c r="H21" i="1"/>
  <c r="W20" i="1"/>
  <c r="T20" i="1"/>
  <c r="Q20" i="1"/>
  <c r="E20" i="1" s="1"/>
  <c r="N20" i="1"/>
  <c r="K20" i="1"/>
  <c r="H20" i="1"/>
  <c r="W19" i="1"/>
  <c r="T19" i="1"/>
  <c r="Q19" i="1"/>
  <c r="N19" i="1"/>
  <c r="E19" i="1" s="1"/>
  <c r="K19" i="1"/>
  <c r="H19" i="1"/>
  <c r="W18" i="1"/>
  <c r="T18" i="1"/>
  <c r="Q18" i="1"/>
  <c r="N18" i="1"/>
  <c r="K18" i="1"/>
  <c r="H18" i="1"/>
  <c r="E18" i="1" s="1"/>
  <c r="W17" i="1"/>
  <c r="T17" i="1"/>
  <c r="Q17" i="1"/>
  <c r="N17" i="1"/>
  <c r="K17" i="1"/>
  <c r="H17" i="1"/>
  <c r="E17" i="1" s="1"/>
  <c r="W16" i="1"/>
  <c r="T16" i="1"/>
  <c r="Q16" i="1"/>
  <c r="N16" i="1"/>
  <c r="K16" i="1"/>
  <c r="H16" i="1"/>
  <c r="E16" i="1" s="1"/>
  <c r="W15" i="1"/>
  <c r="T15" i="1"/>
  <c r="Q15" i="1"/>
  <c r="N15" i="1"/>
  <c r="K15" i="1"/>
  <c r="H15" i="1"/>
  <c r="E15" i="1" s="1"/>
  <c r="W14" i="1"/>
  <c r="T14" i="1"/>
  <c r="Q14" i="1"/>
  <c r="N14" i="1"/>
  <c r="K14" i="1"/>
  <c r="H14" i="1"/>
  <c r="E14" i="1"/>
  <c r="W13" i="1"/>
  <c r="E13" i="1" s="1"/>
  <c r="T13" i="1"/>
  <c r="Q13" i="1"/>
  <c r="N13" i="1"/>
  <c r="K13" i="1"/>
  <c r="H13" i="1"/>
  <c r="W12" i="1"/>
  <c r="T12" i="1"/>
  <c r="Q12" i="1"/>
  <c r="E12" i="1" s="1"/>
  <c r="N12" i="1"/>
  <c r="K12" i="1"/>
  <c r="H12" i="1"/>
  <c r="W11" i="1"/>
  <c r="T11" i="1"/>
  <c r="Q11" i="1"/>
  <c r="N11" i="1"/>
  <c r="E11" i="1" s="1"/>
  <c r="K11" i="1"/>
  <c r="H11" i="1"/>
  <c r="W10" i="1"/>
  <c r="T10" i="1"/>
  <c r="Q10" i="1"/>
  <c r="N10" i="1"/>
  <c r="K10" i="1"/>
  <c r="H10" i="1"/>
  <c r="E10" i="1" s="1"/>
  <c r="W9" i="1"/>
  <c r="T9" i="1"/>
  <c r="Q9" i="1"/>
  <c r="N9" i="1"/>
  <c r="K9" i="1"/>
  <c r="H9" i="1"/>
  <c r="E9" i="1" s="1"/>
  <c r="W8" i="1"/>
  <c r="T8" i="1"/>
  <c r="Q8" i="1"/>
  <c r="N8" i="1"/>
  <c r="K8" i="1"/>
  <c r="H8" i="1"/>
  <c r="E8" i="1" s="1"/>
  <c r="W7" i="1"/>
  <c r="T7" i="1"/>
  <c r="Q7" i="1"/>
  <c r="N7" i="1"/>
  <c r="K7" i="1"/>
  <c r="H7" i="1"/>
  <c r="E7" i="1" s="1"/>
  <c r="W6" i="1"/>
  <c r="T6" i="1"/>
  <c r="Q6" i="1"/>
  <c r="N6" i="1"/>
  <c r="K6" i="1"/>
  <c r="H6" i="1"/>
  <c r="E6" i="1"/>
  <c r="W5" i="1"/>
  <c r="E5" i="1" s="1"/>
  <c r="T5" i="1"/>
  <c r="Q5" i="1"/>
  <c r="N5" i="1"/>
  <c r="K5" i="1"/>
  <c r="H5" i="1"/>
  <c r="W4" i="1"/>
  <c r="T4" i="1"/>
  <c r="Q4" i="1"/>
  <c r="E4" i="1" s="1"/>
  <c r="N4" i="1"/>
  <c r="K4" i="1"/>
  <c r="H4" i="1"/>
  <c r="W3" i="1"/>
  <c r="T3" i="1"/>
  <c r="Q3" i="1"/>
  <c r="N3" i="1"/>
  <c r="E3" i="1" s="1"/>
  <c r="K3" i="1"/>
  <c r="H3" i="1"/>
  <c r="W2" i="1"/>
  <c r="T2" i="1"/>
  <c r="Q2" i="1"/>
  <c r="N2" i="1"/>
  <c r="K2" i="1"/>
  <c r="H2" i="1"/>
  <c r="E2" i="1" s="1"/>
</calcChain>
</file>

<file path=xl/sharedStrings.xml><?xml version="1.0" encoding="utf-8"?>
<sst xmlns="http://schemas.openxmlformats.org/spreadsheetml/2006/main" count="313" uniqueCount="110">
  <si>
    <t>ID</t>
  </si>
  <si>
    <t>Species</t>
  </si>
  <si>
    <t>Sex</t>
  </si>
  <si>
    <t>Male_Type</t>
  </si>
  <si>
    <t>Average Ratio</t>
  </si>
  <si>
    <t>Aliquot 1: GFP</t>
  </si>
  <si>
    <t>Aliquot 1: DAPI</t>
  </si>
  <si>
    <t>Aliquot 1: GFP:DAPI</t>
  </si>
  <si>
    <t>Aliquot 2: GFP</t>
  </si>
  <si>
    <t>Aliquot 2: DAPI</t>
  </si>
  <si>
    <t>Aliquot 2: GFP:DAPI</t>
  </si>
  <si>
    <t>Aliquot 3: GFP</t>
  </si>
  <si>
    <t>Aliquot 3: DAPI</t>
  </si>
  <si>
    <t>Aliquot 3: GFP:DAPI</t>
  </si>
  <si>
    <t>Aliquot 4: GFP</t>
  </si>
  <si>
    <t>Aliquot 4: DAPI</t>
  </si>
  <si>
    <t>Aliquot 4: GFP:DAPI</t>
  </si>
  <si>
    <t>Aliquot 5: GFP</t>
  </si>
  <si>
    <t>Aliquot 5: DAPI</t>
  </si>
  <si>
    <t>Aliquot 5: GFP:DAPI</t>
  </si>
  <si>
    <t>Aliquot 6: GFP:</t>
  </si>
  <si>
    <t>Aliquot 6: DAPI</t>
  </si>
  <si>
    <t>Aliquot 6: GFP:DAPI</t>
  </si>
  <si>
    <t>PPFBC-2</t>
  </si>
  <si>
    <t>Poecilia parae</t>
  </si>
  <si>
    <t>Female</t>
  </si>
  <si>
    <t>PPFBC3</t>
  </si>
  <si>
    <t>PPFBC5</t>
  </si>
  <si>
    <t>PPFBC-6</t>
  </si>
  <si>
    <t>PPFBC-7</t>
  </si>
  <si>
    <t>PPFBC-8</t>
  </si>
  <si>
    <t>PPFBC-9</t>
  </si>
  <si>
    <t>PPFBC-10</t>
  </si>
  <si>
    <t>PPFBC-11</t>
  </si>
  <si>
    <t>PPFBC-12</t>
  </si>
  <si>
    <t>PPBC1</t>
  </si>
  <si>
    <t>Male</t>
  </si>
  <si>
    <t>Parae</t>
  </si>
  <si>
    <t>PPBC2</t>
  </si>
  <si>
    <t>PPBC3</t>
  </si>
  <si>
    <t>PPBC4</t>
  </si>
  <si>
    <t>PPBC5</t>
  </si>
  <si>
    <t>PPBC6</t>
  </si>
  <si>
    <t>PPBC7</t>
  </si>
  <si>
    <t>PPBC8</t>
  </si>
  <si>
    <t>PPBC9</t>
  </si>
  <si>
    <t>PPBC10</t>
  </si>
  <si>
    <t>PIBC-1</t>
  </si>
  <si>
    <t>Immaculata</t>
  </si>
  <si>
    <t>PIBC-2</t>
  </si>
  <si>
    <t>PIBC-3</t>
  </si>
  <si>
    <t>PIBC-4</t>
  </si>
  <si>
    <t>PIBC-5</t>
  </si>
  <si>
    <t>PIBC-6</t>
  </si>
  <si>
    <t>PIBC-7</t>
  </si>
  <si>
    <t>PIBC-8</t>
  </si>
  <si>
    <t>PIBC-9</t>
  </si>
  <si>
    <t>PIBC-10</t>
  </si>
  <si>
    <t>PMBC1</t>
  </si>
  <si>
    <t>Blue Melanzona</t>
  </si>
  <si>
    <t>PMBC2</t>
  </si>
  <si>
    <t>PMBC3</t>
  </si>
  <si>
    <t>PMBC4</t>
  </si>
  <si>
    <t>PMBC5</t>
  </si>
  <si>
    <t>PMBC6</t>
  </si>
  <si>
    <t>PMBC7</t>
  </si>
  <si>
    <t>PMBC8</t>
  </si>
  <si>
    <t>PMBC9</t>
  </si>
  <si>
    <t>PMBC10</t>
  </si>
  <si>
    <t>PpicBC1</t>
  </si>
  <si>
    <t>Poecilia picta</t>
  </si>
  <si>
    <t>PpicBC2</t>
  </si>
  <si>
    <t>PpicBC3</t>
  </si>
  <si>
    <t>PpicBC4</t>
  </si>
  <si>
    <t>PpicBC5</t>
  </si>
  <si>
    <t>PpicBC6</t>
  </si>
  <si>
    <t>PpicBC7</t>
  </si>
  <si>
    <t>PpicBC8</t>
  </si>
  <si>
    <t>PpicBC9</t>
  </si>
  <si>
    <t>PpicBC10</t>
  </si>
  <si>
    <t>PretBC1</t>
  </si>
  <si>
    <t>Poecilia reticulata</t>
  </si>
  <si>
    <t>PretBC2</t>
  </si>
  <si>
    <t>PretBC3</t>
  </si>
  <si>
    <t>PretBC4</t>
  </si>
  <si>
    <t>PretBC5</t>
  </si>
  <si>
    <t>PretBC6</t>
  </si>
  <si>
    <t>PretBC7</t>
  </si>
  <si>
    <t>PretBC8</t>
  </si>
  <si>
    <t>PretBC9</t>
  </si>
  <si>
    <t>PretBC11</t>
  </si>
  <si>
    <t>PpicFBC1</t>
  </si>
  <si>
    <t>PpicFBC2</t>
  </si>
  <si>
    <t>PpicFBC4</t>
  </si>
  <si>
    <t>PpicFBC5</t>
  </si>
  <si>
    <t>PpicFBC6</t>
  </si>
  <si>
    <t>PpicFBC7</t>
  </si>
  <si>
    <t>PpicFBC8</t>
  </si>
  <si>
    <t>PpicFBC9</t>
  </si>
  <si>
    <t>PpicFBC10</t>
  </si>
  <si>
    <t>PretFBC1</t>
  </si>
  <si>
    <t>PretFBC2</t>
  </si>
  <si>
    <t>PretFBC3</t>
  </si>
  <si>
    <t>PretFBC4</t>
  </si>
  <si>
    <t>PretFBC5</t>
  </si>
  <si>
    <t>PretFBC6</t>
  </si>
  <si>
    <t>PretFBC7</t>
  </si>
  <si>
    <t>PretFBC8</t>
  </si>
  <si>
    <t>PretFBC9</t>
  </si>
  <si>
    <t>PretFBC10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</si>
</sst>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rgb="FF1D1C1D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8F8F8"/>
        <bgColor rgb="FFF8F8F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DFF1-158C-420F-905B-9D5CB96C2444}">
  <dimension ref="A1:W81"/>
  <sheetViews>
    <sheetView tabSelected="1" zoomScale="65" workbookViewId="0">
      <selection activeCell="P24" sqref="P24"/>
    </sheetView>
  </sheetViews>
  <sheetFormatPr defaultRowHeight="16" x14ac:dyDescent="0.35"/>
  <cols>
    <col min="1" max="1" width="11.54296875" style="6" customWidth="1"/>
    <col min="2" max="2" width="19.26953125" style="6" customWidth="1"/>
    <col min="3" max="3" width="13.81640625" style="6" customWidth="1"/>
    <col min="4" max="4" width="19.54296875" style="6" customWidth="1"/>
    <col min="5" max="5" width="8.81640625" style="7" customWidth="1"/>
    <col min="6" max="6" width="10.54296875" style="6" customWidth="1"/>
    <col min="7" max="7" width="8.7265625" style="12"/>
    <col min="8" max="8" width="10.81640625" style="6" customWidth="1"/>
    <col min="9" max="9" width="10.90625" style="6" customWidth="1"/>
    <col min="10" max="10" width="10.08984375" style="12" bestFit="1" customWidth="1"/>
    <col min="11" max="11" width="11.453125" style="6" customWidth="1"/>
    <col min="12" max="12" width="10.6328125" style="6" customWidth="1"/>
    <col min="13" max="13" width="10.36328125" style="12" customWidth="1"/>
    <col min="14" max="14" width="12.90625" style="6" customWidth="1"/>
    <col min="15" max="15" width="11.7265625" style="6" customWidth="1"/>
    <col min="16" max="16" width="11.453125" style="12" customWidth="1"/>
    <col min="17" max="17" width="12" style="6" customWidth="1"/>
    <col min="18" max="18" width="12.7265625" style="6" customWidth="1"/>
    <col min="19" max="19" width="12.36328125" style="12" customWidth="1"/>
    <col min="20" max="20" width="12.6328125" style="6" customWidth="1"/>
    <col min="21" max="21" width="12" style="6" customWidth="1"/>
    <col min="22" max="22" width="12.90625" style="12" customWidth="1"/>
    <col min="23" max="23" width="12.453125" style="6" customWidth="1"/>
  </cols>
  <sheetData>
    <row r="1" spans="1:23" ht="3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4" t="s">
        <v>15</v>
      </c>
      <c r="Q1" s="5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4" t="s">
        <v>21</v>
      </c>
      <c r="W1" s="5" t="s">
        <v>22</v>
      </c>
    </row>
    <row r="2" spans="1:23" x14ac:dyDescent="0.35">
      <c r="A2" s="6" t="s">
        <v>23</v>
      </c>
      <c r="B2" s="6" t="s">
        <v>24</v>
      </c>
      <c r="C2" s="6" t="s">
        <v>25</v>
      </c>
      <c r="E2" s="7">
        <f>AVERAGE(H2,K2,N2,Q2,T2,W2)</f>
        <v>0.50341036132955741</v>
      </c>
      <c r="F2" s="8">
        <v>84</v>
      </c>
      <c r="G2" s="9">
        <v>126</v>
      </c>
      <c r="H2" s="10">
        <f>F2/G2</f>
        <v>0.66666666666666663</v>
      </c>
      <c r="I2" s="8">
        <v>399</v>
      </c>
      <c r="J2" s="9">
        <v>714</v>
      </c>
      <c r="K2" s="10">
        <f>I2/J2</f>
        <v>0.55882352941176472</v>
      </c>
      <c r="L2" s="8">
        <v>231</v>
      </c>
      <c r="M2" s="9">
        <v>819</v>
      </c>
      <c r="N2" s="10">
        <f>L2/M2</f>
        <v>0.28205128205128205</v>
      </c>
      <c r="O2" s="8">
        <v>483</v>
      </c>
      <c r="P2" s="9">
        <v>861</v>
      </c>
      <c r="Q2" s="10">
        <f>O2/P2</f>
        <v>0.56097560975609762</v>
      </c>
      <c r="R2" s="8">
        <v>231</v>
      </c>
      <c r="S2" s="9">
        <v>483</v>
      </c>
      <c r="T2" s="10">
        <f>R2/S2</f>
        <v>0.47826086956521741</v>
      </c>
      <c r="U2" s="6">
        <v>189</v>
      </c>
      <c r="V2" s="9">
        <v>399</v>
      </c>
      <c r="W2" s="10">
        <f>U2/V2</f>
        <v>0.47368421052631576</v>
      </c>
    </row>
    <row r="3" spans="1:23" x14ac:dyDescent="0.35">
      <c r="A3" s="11" t="s">
        <v>26</v>
      </c>
      <c r="B3" s="6" t="s">
        <v>24</v>
      </c>
      <c r="C3" s="6" t="s">
        <v>25</v>
      </c>
      <c r="E3" s="7">
        <f>AVERAGE(H3,K3,N3,Q3,T3,W3)</f>
        <v>0.54483395744839402</v>
      </c>
      <c r="F3" s="8">
        <v>273</v>
      </c>
      <c r="G3" s="9">
        <v>525</v>
      </c>
      <c r="H3" s="10">
        <f t="shared" ref="H3:H66" si="0">F3/G3</f>
        <v>0.52</v>
      </c>
      <c r="I3" s="8">
        <v>441</v>
      </c>
      <c r="J3" s="9">
        <v>840</v>
      </c>
      <c r="K3" s="10">
        <f t="shared" ref="K3:K66" si="1">I3/J3</f>
        <v>0.52500000000000002</v>
      </c>
      <c r="L3" s="8">
        <v>777</v>
      </c>
      <c r="M3" s="9">
        <v>1491</v>
      </c>
      <c r="N3" s="10">
        <f t="shared" ref="N3:N66" si="2">L3/M3</f>
        <v>0.52112676056338025</v>
      </c>
      <c r="O3" s="8">
        <v>315</v>
      </c>
      <c r="P3" s="9">
        <v>672</v>
      </c>
      <c r="Q3" s="10">
        <f t="shared" ref="Q3:Q66" si="3">O3/P3</f>
        <v>0.46875</v>
      </c>
      <c r="R3" s="8">
        <v>588</v>
      </c>
      <c r="S3" s="9">
        <v>1008</v>
      </c>
      <c r="T3" s="10">
        <f t="shared" ref="T3:T66" si="4">R3/S3</f>
        <v>0.58333333333333337</v>
      </c>
      <c r="U3" s="6">
        <v>861</v>
      </c>
      <c r="V3" s="9">
        <v>1323</v>
      </c>
      <c r="W3" s="10">
        <f t="shared" ref="W3:W66" si="5">U3/V3</f>
        <v>0.65079365079365081</v>
      </c>
    </row>
    <row r="4" spans="1:23" x14ac:dyDescent="0.35">
      <c r="A4" s="11" t="s">
        <v>27</v>
      </c>
      <c r="B4" s="6" t="s">
        <v>24</v>
      </c>
      <c r="C4" s="6" t="s">
        <v>25</v>
      </c>
      <c r="E4" s="7">
        <f t="shared" ref="E4:E67" si="6">AVERAGE(H4,K4,N4,Q4,T4,W4)</f>
        <v>0.5751996186910262</v>
      </c>
      <c r="F4" s="8">
        <v>168</v>
      </c>
      <c r="G4" s="9">
        <v>273</v>
      </c>
      <c r="H4" s="10">
        <f t="shared" si="0"/>
        <v>0.61538461538461542</v>
      </c>
      <c r="I4" s="8">
        <v>189</v>
      </c>
      <c r="J4" s="9">
        <v>336</v>
      </c>
      <c r="K4" s="10">
        <f t="shared" si="1"/>
        <v>0.5625</v>
      </c>
      <c r="L4" s="8">
        <v>441</v>
      </c>
      <c r="M4" s="9">
        <v>1113</v>
      </c>
      <c r="N4" s="10">
        <f t="shared" si="2"/>
        <v>0.39622641509433965</v>
      </c>
      <c r="O4" s="8">
        <v>1218</v>
      </c>
      <c r="P4" s="9">
        <v>1890</v>
      </c>
      <c r="Q4" s="10">
        <f t="shared" si="3"/>
        <v>0.64444444444444449</v>
      </c>
      <c r="R4" s="8">
        <v>777</v>
      </c>
      <c r="S4" s="9">
        <v>1428</v>
      </c>
      <c r="T4" s="10">
        <f t="shared" si="4"/>
        <v>0.54411764705882348</v>
      </c>
      <c r="U4" s="8">
        <v>882</v>
      </c>
      <c r="V4" s="9">
        <v>1281</v>
      </c>
      <c r="W4" s="10">
        <f t="shared" si="5"/>
        <v>0.68852459016393441</v>
      </c>
    </row>
    <row r="5" spans="1:23" x14ac:dyDescent="0.35">
      <c r="A5" s="11" t="s">
        <v>28</v>
      </c>
      <c r="B5" s="6" t="s">
        <v>24</v>
      </c>
      <c r="C5" s="6" t="s">
        <v>25</v>
      </c>
      <c r="E5" s="7">
        <f t="shared" si="6"/>
        <v>0.56604197257295785</v>
      </c>
      <c r="F5" s="8">
        <v>1512</v>
      </c>
      <c r="G5" s="9">
        <v>2394</v>
      </c>
      <c r="H5" s="10">
        <f t="shared" si="0"/>
        <v>0.63157894736842102</v>
      </c>
      <c r="I5" s="8">
        <v>1460.76</v>
      </c>
      <c r="J5" s="9">
        <v>3108</v>
      </c>
      <c r="K5" s="10">
        <f t="shared" si="1"/>
        <v>0.47</v>
      </c>
      <c r="L5" s="8">
        <v>903</v>
      </c>
      <c r="M5" s="9">
        <v>3318</v>
      </c>
      <c r="N5" s="10">
        <f t="shared" si="2"/>
        <v>0.27215189873417722</v>
      </c>
      <c r="O5" s="8">
        <v>2730</v>
      </c>
      <c r="P5" s="9">
        <v>4200</v>
      </c>
      <c r="Q5" s="10">
        <f t="shared" si="3"/>
        <v>0.65</v>
      </c>
      <c r="R5" s="8">
        <v>3423</v>
      </c>
      <c r="S5" s="9">
        <v>4746</v>
      </c>
      <c r="T5" s="10">
        <f t="shared" si="4"/>
        <v>0.72123893805309736</v>
      </c>
      <c r="U5" s="6">
        <v>2667</v>
      </c>
      <c r="V5" s="9">
        <v>4095</v>
      </c>
      <c r="W5" s="10">
        <f t="shared" si="5"/>
        <v>0.6512820512820513</v>
      </c>
    </row>
    <row r="6" spans="1:23" x14ac:dyDescent="0.35">
      <c r="A6" s="11" t="s">
        <v>29</v>
      </c>
      <c r="B6" s="6" t="s">
        <v>24</v>
      </c>
      <c r="C6" s="6" t="s">
        <v>25</v>
      </c>
      <c r="E6" s="7">
        <f t="shared" si="6"/>
        <v>0.5294586432456998</v>
      </c>
      <c r="F6" s="8">
        <v>1428</v>
      </c>
      <c r="G6" s="9">
        <v>2310</v>
      </c>
      <c r="H6" s="10">
        <f t="shared" si="0"/>
        <v>0.61818181818181817</v>
      </c>
      <c r="I6" s="8">
        <v>294</v>
      </c>
      <c r="J6" s="9">
        <v>2016</v>
      </c>
      <c r="K6" s="10">
        <f t="shared" si="1"/>
        <v>0.14583333333333334</v>
      </c>
      <c r="L6" s="8">
        <v>1330</v>
      </c>
      <c r="M6" s="9">
        <v>2331</v>
      </c>
      <c r="N6" s="10">
        <f t="shared" si="2"/>
        <v>0.57057057057057059</v>
      </c>
      <c r="O6" s="8">
        <v>1610</v>
      </c>
      <c r="P6" s="9">
        <v>2555</v>
      </c>
      <c r="Q6" s="10">
        <f t="shared" si="3"/>
        <v>0.63013698630136983</v>
      </c>
      <c r="R6" s="8">
        <v>2114</v>
      </c>
      <c r="S6" s="9">
        <v>3486</v>
      </c>
      <c r="T6" s="10">
        <f t="shared" si="4"/>
        <v>0.60642570281124497</v>
      </c>
      <c r="U6" s="6">
        <v>1967</v>
      </c>
      <c r="V6" s="9">
        <v>3248</v>
      </c>
      <c r="W6" s="10">
        <f t="shared" si="5"/>
        <v>0.6056034482758621</v>
      </c>
    </row>
    <row r="7" spans="1:23" x14ac:dyDescent="0.35">
      <c r="A7" s="11" t="s">
        <v>30</v>
      </c>
      <c r="B7" s="6" t="s">
        <v>24</v>
      </c>
      <c r="C7" s="6" t="s">
        <v>25</v>
      </c>
      <c r="E7" s="7">
        <f t="shared" si="6"/>
        <v>0.5319488697178798</v>
      </c>
      <c r="F7" s="8">
        <v>105</v>
      </c>
      <c r="G7" s="9">
        <v>210</v>
      </c>
      <c r="H7" s="10">
        <f t="shared" si="0"/>
        <v>0.5</v>
      </c>
      <c r="I7" s="8">
        <v>210</v>
      </c>
      <c r="J7" s="9">
        <v>357</v>
      </c>
      <c r="K7" s="10">
        <f t="shared" si="1"/>
        <v>0.58823529411764708</v>
      </c>
      <c r="L7" s="8">
        <v>399</v>
      </c>
      <c r="M7" s="9">
        <v>861</v>
      </c>
      <c r="N7" s="10">
        <f t="shared" si="2"/>
        <v>0.46341463414634149</v>
      </c>
      <c r="O7" s="8">
        <v>483</v>
      </c>
      <c r="P7" s="9">
        <v>882</v>
      </c>
      <c r="Q7" s="10">
        <f t="shared" si="3"/>
        <v>0.54761904761904767</v>
      </c>
      <c r="R7" s="8">
        <v>273</v>
      </c>
      <c r="S7" s="9">
        <v>630</v>
      </c>
      <c r="T7" s="10">
        <f t="shared" si="4"/>
        <v>0.43333333333333335</v>
      </c>
      <c r="U7" s="6">
        <v>609</v>
      </c>
      <c r="V7" s="9">
        <v>924</v>
      </c>
      <c r="W7" s="10">
        <f t="shared" si="5"/>
        <v>0.65909090909090906</v>
      </c>
    </row>
    <row r="8" spans="1:23" x14ac:dyDescent="0.35">
      <c r="A8" s="11" t="s">
        <v>31</v>
      </c>
      <c r="B8" s="6" t="s">
        <v>24</v>
      </c>
      <c r="C8" s="6" t="s">
        <v>25</v>
      </c>
      <c r="E8" s="7">
        <f t="shared" si="6"/>
        <v>0.50510102653075983</v>
      </c>
      <c r="F8" s="8">
        <v>210</v>
      </c>
      <c r="G8" s="9">
        <v>420</v>
      </c>
      <c r="H8" s="10">
        <f t="shared" si="0"/>
        <v>0.5</v>
      </c>
      <c r="I8" s="8">
        <v>189</v>
      </c>
      <c r="J8" s="9">
        <v>504</v>
      </c>
      <c r="K8" s="10">
        <f t="shared" si="1"/>
        <v>0.375</v>
      </c>
      <c r="L8" s="8">
        <v>525</v>
      </c>
      <c r="M8" s="9">
        <v>1113</v>
      </c>
      <c r="N8" s="10">
        <f t="shared" si="2"/>
        <v>0.47169811320754718</v>
      </c>
      <c r="O8" s="8">
        <v>273</v>
      </c>
      <c r="P8" s="9">
        <v>378</v>
      </c>
      <c r="Q8" s="10">
        <f t="shared" si="3"/>
        <v>0.72222222222222221</v>
      </c>
      <c r="R8" s="8">
        <v>336</v>
      </c>
      <c r="S8" s="9">
        <v>756</v>
      </c>
      <c r="T8" s="10">
        <f t="shared" si="4"/>
        <v>0.44444444444444442</v>
      </c>
      <c r="U8" s="6">
        <v>315</v>
      </c>
      <c r="V8" s="9">
        <v>609</v>
      </c>
      <c r="W8" s="10">
        <f t="shared" si="5"/>
        <v>0.51724137931034486</v>
      </c>
    </row>
    <row r="9" spans="1:23" x14ac:dyDescent="0.35">
      <c r="A9" s="11" t="s">
        <v>32</v>
      </c>
      <c r="B9" s="6" t="s">
        <v>24</v>
      </c>
      <c r="C9" s="6" t="s">
        <v>25</v>
      </c>
      <c r="E9" s="7">
        <f t="shared" si="6"/>
        <v>0.54215325800537906</v>
      </c>
      <c r="F9" s="8">
        <v>2037</v>
      </c>
      <c r="G9" s="9">
        <v>3444</v>
      </c>
      <c r="H9" s="10">
        <f t="shared" si="0"/>
        <v>0.59146341463414631</v>
      </c>
      <c r="I9" s="8">
        <v>1344</v>
      </c>
      <c r="J9" s="9">
        <v>2310</v>
      </c>
      <c r="K9" s="10">
        <f t="shared" si="1"/>
        <v>0.58181818181818179</v>
      </c>
      <c r="L9" s="8">
        <v>1176</v>
      </c>
      <c r="M9" s="9">
        <v>2142</v>
      </c>
      <c r="N9" s="10">
        <f t="shared" si="2"/>
        <v>0.5490196078431373</v>
      </c>
      <c r="O9" s="8">
        <v>840</v>
      </c>
      <c r="P9" s="9">
        <v>1827</v>
      </c>
      <c r="Q9" s="10">
        <f t="shared" si="3"/>
        <v>0.45977011494252873</v>
      </c>
      <c r="R9" s="8">
        <v>2058</v>
      </c>
      <c r="S9" s="9">
        <v>3801</v>
      </c>
      <c r="T9" s="10">
        <f t="shared" si="4"/>
        <v>0.54143646408839774</v>
      </c>
      <c r="U9" s="6">
        <v>1323</v>
      </c>
      <c r="V9" s="12">
        <v>2499</v>
      </c>
      <c r="W9" s="10">
        <f t="shared" si="5"/>
        <v>0.52941176470588236</v>
      </c>
    </row>
    <row r="10" spans="1:23" x14ac:dyDescent="0.35">
      <c r="A10" s="11" t="s">
        <v>33</v>
      </c>
      <c r="B10" s="6" t="s">
        <v>24</v>
      </c>
      <c r="C10" s="6" t="s">
        <v>25</v>
      </c>
      <c r="E10" s="7">
        <f t="shared" si="6"/>
        <v>0.58236075615517058</v>
      </c>
      <c r="F10" s="6">
        <v>1218</v>
      </c>
      <c r="G10" s="12">
        <v>2142</v>
      </c>
      <c r="H10" s="10">
        <f t="shared" si="0"/>
        <v>0.56862745098039214</v>
      </c>
      <c r="I10" s="8">
        <v>798</v>
      </c>
      <c r="J10" s="9">
        <v>1449</v>
      </c>
      <c r="K10" s="10">
        <f t="shared" si="1"/>
        <v>0.55072463768115942</v>
      </c>
      <c r="L10" s="8">
        <v>1113</v>
      </c>
      <c r="M10" s="9">
        <v>2079</v>
      </c>
      <c r="N10" s="10">
        <f t="shared" si="2"/>
        <v>0.53535353535353536</v>
      </c>
      <c r="O10" s="8">
        <v>966</v>
      </c>
      <c r="P10" s="9">
        <v>1911</v>
      </c>
      <c r="Q10" s="10">
        <f t="shared" si="3"/>
        <v>0.50549450549450547</v>
      </c>
      <c r="R10" s="6">
        <v>1764</v>
      </c>
      <c r="S10" s="12">
        <v>2394</v>
      </c>
      <c r="T10" s="10">
        <f t="shared" si="4"/>
        <v>0.73684210526315785</v>
      </c>
      <c r="U10" s="6">
        <v>1743</v>
      </c>
      <c r="V10" s="12">
        <v>2919</v>
      </c>
      <c r="W10" s="10">
        <f t="shared" si="5"/>
        <v>0.59712230215827333</v>
      </c>
    </row>
    <row r="11" spans="1:23" x14ac:dyDescent="0.35">
      <c r="A11" s="11" t="s">
        <v>34</v>
      </c>
      <c r="B11" s="6" t="s">
        <v>24</v>
      </c>
      <c r="C11" s="6" t="s">
        <v>25</v>
      </c>
      <c r="E11" s="7">
        <f t="shared" si="6"/>
        <v>0.51740045053998551</v>
      </c>
      <c r="F11" s="6">
        <v>588</v>
      </c>
      <c r="G11" s="9">
        <v>1008</v>
      </c>
      <c r="H11" s="10">
        <f t="shared" si="0"/>
        <v>0.58333333333333337</v>
      </c>
      <c r="I11" s="8">
        <v>63</v>
      </c>
      <c r="J11" s="9">
        <v>126</v>
      </c>
      <c r="K11" s="10">
        <f t="shared" si="1"/>
        <v>0.5</v>
      </c>
      <c r="L11" s="8">
        <v>252</v>
      </c>
      <c r="M11" s="9">
        <v>546</v>
      </c>
      <c r="N11" s="10">
        <f t="shared" si="2"/>
        <v>0.46153846153846156</v>
      </c>
      <c r="O11" s="8">
        <v>168</v>
      </c>
      <c r="P11" s="9">
        <v>378</v>
      </c>
      <c r="Q11" s="10">
        <f t="shared" si="3"/>
        <v>0.44444444444444442</v>
      </c>
      <c r="R11" s="8">
        <v>567</v>
      </c>
      <c r="S11" s="9">
        <v>903</v>
      </c>
      <c r="T11" s="10">
        <f t="shared" si="4"/>
        <v>0.62790697674418605</v>
      </c>
      <c r="U11" s="6">
        <v>399</v>
      </c>
      <c r="V11" s="9">
        <v>819</v>
      </c>
      <c r="W11" s="10">
        <f t="shared" si="5"/>
        <v>0.48717948717948717</v>
      </c>
    </row>
    <row r="12" spans="1:23" x14ac:dyDescent="0.35">
      <c r="A12" s="13" t="s">
        <v>35</v>
      </c>
      <c r="B12" s="6" t="s">
        <v>24</v>
      </c>
      <c r="C12" s="6" t="s">
        <v>36</v>
      </c>
      <c r="D12" s="6" t="s">
        <v>37</v>
      </c>
      <c r="E12" s="7">
        <f t="shared" si="6"/>
        <v>0.52414274888699441</v>
      </c>
      <c r="F12" s="8">
        <v>147</v>
      </c>
      <c r="G12" s="9">
        <v>357</v>
      </c>
      <c r="H12" s="10">
        <f t="shared" si="0"/>
        <v>0.41176470588235292</v>
      </c>
      <c r="I12" s="8">
        <v>105</v>
      </c>
      <c r="J12" s="9">
        <v>210</v>
      </c>
      <c r="K12" s="10">
        <f t="shared" si="1"/>
        <v>0.5</v>
      </c>
      <c r="L12" s="8">
        <v>378</v>
      </c>
      <c r="M12" s="9">
        <v>483</v>
      </c>
      <c r="N12" s="10">
        <f t="shared" si="2"/>
        <v>0.78260869565217395</v>
      </c>
      <c r="O12" s="8">
        <v>210</v>
      </c>
      <c r="P12" s="9">
        <v>504</v>
      </c>
      <c r="Q12" s="10">
        <f t="shared" si="3"/>
        <v>0.41666666666666669</v>
      </c>
      <c r="R12" s="8">
        <v>525</v>
      </c>
      <c r="S12" s="9">
        <v>945</v>
      </c>
      <c r="T12" s="10">
        <f t="shared" si="4"/>
        <v>0.55555555555555558</v>
      </c>
      <c r="U12" s="6">
        <v>231</v>
      </c>
      <c r="V12" s="9">
        <v>483</v>
      </c>
      <c r="W12" s="10">
        <f t="shared" si="5"/>
        <v>0.47826086956521741</v>
      </c>
    </row>
    <row r="13" spans="1:23" x14ac:dyDescent="0.35">
      <c r="A13" s="13" t="s">
        <v>38</v>
      </c>
      <c r="B13" s="6" t="s">
        <v>24</v>
      </c>
      <c r="C13" s="6" t="s">
        <v>36</v>
      </c>
      <c r="D13" s="6" t="s">
        <v>37</v>
      </c>
      <c r="E13" s="7">
        <f t="shared" si="6"/>
        <v>0.52268484601817933</v>
      </c>
      <c r="F13" s="8">
        <v>103</v>
      </c>
      <c r="G13" s="9">
        <v>210</v>
      </c>
      <c r="H13" s="10">
        <f t="shared" si="0"/>
        <v>0.49047619047619045</v>
      </c>
      <c r="I13" s="8">
        <v>168</v>
      </c>
      <c r="J13" s="9">
        <v>294</v>
      </c>
      <c r="K13" s="10">
        <f t="shared" si="1"/>
        <v>0.5714285714285714</v>
      </c>
      <c r="L13" s="8">
        <v>236</v>
      </c>
      <c r="M13" s="9">
        <v>378</v>
      </c>
      <c r="N13" s="10">
        <f t="shared" si="2"/>
        <v>0.6243386243386243</v>
      </c>
      <c r="O13" s="8">
        <v>294</v>
      </c>
      <c r="P13" s="9">
        <v>525</v>
      </c>
      <c r="Q13" s="10">
        <f t="shared" si="3"/>
        <v>0.56000000000000005</v>
      </c>
      <c r="R13" s="8">
        <v>133</v>
      </c>
      <c r="S13" s="9">
        <v>315</v>
      </c>
      <c r="T13" s="10">
        <f t="shared" si="4"/>
        <v>0.42222222222222222</v>
      </c>
      <c r="U13" s="6">
        <v>383</v>
      </c>
      <c r="V13" s="9">
        <v>819</v>
      </c>
      <c r="W13" s="10">
        <f t="shared" si="5"/>
        <v>0.46764346764346765</v>
      </c>
    </row>
    <row r="14" spans="1:23" x14ac:dyDescent="0.35">
      <c r="A14" s="13" t="s">
        <v>39</v>
      </c>
      <c r="B14" s="6" t="s">
        <v>24</v>
      </c>
      <c r="C14" s="6" t="s">
        <v>36</v>
      </c>
      <c r="D14" s="6" t="s">
        <v>37</v>
      </c>
      <c r="E14" s="7">
        <f t="shared" si="6"/>
        <v>0.64925509273335358</v>
      </c>
      <c r="F14" s="8">
        <v>210</v>
      </c>
      <c r="G14" s="9">
        <v>273</v>
      </c>
      <c r="H14" s="10">
        <f t="shared" si="0"/>
        <v>0.76923076923076927</v>
      </c>
      <c r="I14" s="8">
        <v>378</v>
      </c>
      <c r="J14" s="9">
        <v>546</v>
      </c>
      <c r="K14" s="10">
        <f t="shared" si="1"/>
        <v>0.69230769230769229</v>
      </c>
      <c r="L14" s="8">
        <v>441</v>
      </c>
      <c r="M14" s="9">
        <v>693</v>
      </c>
      <c r="N14" s="10">
        <f t="shared" si="2"/>
        <v>0.63636363636363635</v>
      </c>
      <c r="O14" s="8">
        <v>315</v>
      </c>
      <c r="P14" s="9">
        <v>525</v>
      </c>
      <c r="Q14" s="10">
        <f t="shared" si="3"/>
        <v>0.6</v>
      </c>
      <c r="R14" s="8">
        <v>378</v>
      </c>
      <c r="S14" s="9">
        <v>693</v>
      </c>
      <c r="T14" s="10">
        <f t="shared" si="4"/>
        <v>0.54545454545454541</v>
      </c>
      <c r="U14" s="6">
        <v>315</v>
      </c>
      <c r="V14" s="9">
        <v>483</v>
      </c>
      <c r="W14" s="10">
        <f t="shared" si="5"/>
        <v>0.65217391304347827</v>
      </c>
    </row>
    <row r="15" spans="1:23" x14ac:dyDescent="0.35">
      <c r="A15" s="13" t="s">
        <v>40</v>
      </c>
      <c r="B15" s="6" t="s">
        <v>24</v>
      </c>
      <c r="C15" s="6" t="s">
        <v>36</v>
      </c>
      <c r="D15" s="6" t="s">
        <v>37</v>
      </c>
      <c r="E15" s="7">
        <f t="shared" si="6"/>
        <v>0.5063832922855479</v>
      </c>
      <c r="F15" s="8">
        <v>243</v>
      </c>
      <c r="G15" s="9">
        <v>420</v>
      </c>
      <c r="H15" s="10">
        <f t="shared" si="0"/>
        <v>0.57857142857142863</v>
      </c>
      <c r="I15" s="8">
        <v>147</v>
      </c>
      <c r="J15" s="9">
        <v>378</v>
      </c>
      <c r="K15" s="10">
        <f t="shared" si="1"/>
        <v>0.3888888888888889</v>
      </c>
      <c r="L15" s="8">
        <v>189</v>
      </c>
      <c r="M15" s="9">
        <v>399</v>
      </c>
      <c r="N15" s="10">
        <f t="shared" si="2"/>
        <v>0.47368421052631576</v>
      </c>
      <c r="O15" s="8">
        <v>108</v>
      </c>
      <c r="P15" s="9">
        <v>210</v>
      </c>
      <c r="Q15" s="10">
        <f t="shared" si="3"/>
        <v>0.51428571428571423</v>
      </c>
      <c r="R15" s="8">
        <v>126</v>
      </c>
      <c r="S15" s="9">
        <v>231</v>
      </c>
      <c r="T15" s="10">
        <f t="shared" si="4"/>
        <v>0.54545454545454541</v>
      </c>
      <c r="U15" s="6">
        <v>158</v>
      </c>
      <c r="V15" s="9">
        <v>294</v>
      </c>
      <c r="W15" s="10">
        <f t="shared" si="5"/>
        <v>0.5374149659863946</v>
      </c>
    </row>
    <row r="16" spans="1:23" x14ac:dyDescent="0.35">
      <c r="A16" s="13" t="s">
        <v>41</v>
      </c>
      <c r="B16" s="6" t="s">
        <v>24</v>
      </c>
      <c r="C16" s="6" t="s">
        <v>36</v>
      </c>
      <c r="D16" s="6" t="s">
        <v>37</v>
      </c>
      <c r="E16" s="7">
        <f t="shared" si="6"/>
        <v>0.52423439986791076</v>
      </c>
      <c r="F16" s="6">
        <v>483</v>
      </c>
      <c r="G16" s="9">
        <v>829.5</v>
      </c>
      <c r="H16" s="10">
        <f t="shared" si="0"/>
        <v>0.58227848101265822</v>
      </c>
      <c r="I16" s="6">
        <v>945</v>
      </c>
      <c r="J16" s="12">
        <v>2016</v>
      </c>
      <c r="K16" s="10">
        <f t="shared" si="1"/>
        <v>0.46875</v>
      </c>
      <c r="L16" s="6">
        <v>917</v>
      </c>
      <c r="M16" s="12">
        <v>2135</v>
      </c>
      <c r="N16" s="10">
        <f t="shared" si="2"/>
        <v>0.42950819672131146</v>
      </c>
      <c r="O16" s="6">
        <v>435.75</v>
      </c>
      <c r="P16" s="12">
        <v>834.75</v>
      </c>
      <c r="Q16" s="10">
        <f t="shared" si="3"/>
        <v>0.5220125786163522</v>
      </c>
      <c r="R16" s="6">
        <v>378</v>
      </c>
      <c r="S16" s="12">
        <v>588</v>
      </c>
      <c r="T16" s="10">
        <f t="shared" si="4"/>
        <v>0.6428571428571429</v>
      </c>
      <c r="U16" s="6">
        <v>413</v>
      </c>
      <c r="V16" s="12">
        <v>826</v>
      </c>
      <c r="W16" s="10">
        <f t="shared" si="5"/>
        <v>0.5</v>
      </c>
    </row>
    <row r="17" spans="1:23" x14ac:dyDescent="0.35">
      <c r="A17" s="13" t="s">
        <v>42</v>
      </c>
      <c r="B17" s="6" t="s">
        <v>24</v>
      </c>
      <c r="C17" s="6" t="s">
        <v>36</v>
      </c>
      <c r="D17" s="6" t="s">
        <v>37</v>
      </c>
      <c r="E17" s="7">
        <f t="shared" si="6"/>
        <v>0.55087198588516539</v>
      </c>
      <c r="F17" s="8">
        <v>357</v>
      </c>
      <c r="G17" s="9">
        <v>567</v>
      </c>
      <c r="H17" s="10">
        <f t="shared" si="0"/>
        <v>0.62962962962962965</v>
      </c>
      <c r="I17" s="8">
        <v>336</v>
      </c>
      <c r="J17" s="9">
        <v>609</v>
      </c>
      <c r="K17" s="10">
        <f t="shared" si="1"/>
        <v>0.55172413793103448</v>
      </c>
      <c r="L17" s="8">
        <v>210</v>
      </c>
      <c r="M17" s="9">
        <v>399</v>
      </c>
      <c r="N17" s="10">
        <f t="shared" si="2"/>
        <v>0.52631578947368418</v>
      </c>
      <c r="O17" s="8">
        <v>420</v>
      </c>
      <c r="P17" s="9">
        <v>756</v>
      </c>
      <c r="Q17" s="10">
        <f t="shared" si="3"/>
        <v>0.55555555555555558</v>
      </c>
      <c r="R17" s="8">
        <v>429</v>
      </c>
      <c r="S17" s="9">
        <v>735</v>
      </c>
      <c r="T17" s="10">
        <f t="shared" si="4"/>
        <v>0.58367346938775511</v>
      </c>
      <c r="U17" s="6">
        <v>693</v>
      </c>
      <c r="V17" s="12">
        <v>1512</v>
      </c>
      <c r="W17" s="10">
        <f t="shared" si="5"/>
        <v>0.45833333333333331</v>
      </c>
    </row>
    <row r="18" spans="1:23" x14ac:dyDescent="0.35">
      <c r="A18" s="13" t="s">
        <v>43</v>
      </c>
      <c r="B18" s="6" t="s">
        <v>24</v>
      </c>
      <c r="C18" s="6" t="s">
        <v>36</v>
      </c>
      <c r="D18" s="6" t="s">
        <v>37</v>
      </c>
      <c r="E18" s="7">
        <f t="shared" si="6"/>
        <v>0.52909496244886389</v>
      </c>
      <c r="F18" s="8">
        <v>122</v>
      </c>
      <c r="G18" s="9">
        <v>210</v>
      </c>
      <c r="H18" s="10">
        <f t="shared" si="0"/>
        <v>0.580952380952381</v>
      </c>
      <c r="I18" s="8">
        <v>607</v>
      </c>
      <c r="J18" s="9">
        <v>1050</v>
      </c>
      <c r="K18" s="10">
        <f t="shared" si="1"/>
        <v>0.57809523809523811</v>
      </c>
      <c r="L18" s="8">
        <v>247</v>
      </c>
      <c r="M18" s="9">
        <v>531</v>
      </c>
      <c r="N18" s="10">
        <f t="shared" si="2"/>
        <v>0.46516007532956688</v>
      </c>
      <c r="O18" s="8">
        <v>313</v>
      </c>
      <c r="P18" s="9">
        <v>588</v>
      </c>
      <c r="Q18" s="10">
        <f t="shared" si="3"/>
        <v>0.53231292517006801</v>
      </c>
      <c r="R18" s="8">
        <v>246</v>
      </c>
      <c r="S18" s="9">
        <v>504</v>
      </c>
      <c r="T18" s="10">
        <f t="shared" si="4"/>
        <v>0.48809523809523808</v>
      </c>
      <c r="U18" s="6">
        <v>345</v>
      </c>
      <c r="V18" s="9">
        <v>651</v>
      </c>
      <c r="W18" s="10">
        <f t="shared" si="5"/>
        <v>0.52995391705069128</v>
      </c>
    </row>
    <row r="19" spans="1:23" x14ac:dyDescent="0.35">
      <c r="A19" s="13" t="s">
        <v>44</v>
      </c>
      <c r="B19" s="6" t="s">
        <v>24</v>
      </c>
      <c r="C19" s="6" t="s">
        <v>36</v>
      </c>
      <c r="D19" s="6" t="s">
        <v>37</v>
      </c>
      <c r="E19" s="7">
        <f t="shared" si="6"/>
        <v>0.51579440103547525</v>
      </c>
      <c r="F19" s="8">
        <v>363</v>
      </c>
      <c r="G19" s="9">
        <v>710</v>
      </c>
      <c r="H19" s="10">
        <f t="shared" si="0"/>
        <v>0.5112676056338028</v>
      </c>
      <c r="I19" s="8">
        <v>338</v>
      </c>
      <c r="J19" s="9">
        <v>684</v>
      </c>
      <c r="K19" s="10">
        <f t="shared" si="1"/>
        <v>0.49415204678362573</v>
      </c>
      <c r="L19" s="8">
        <v>126</v>
      </c>
      <c r="M19" s="9">
        <v>231</v>
      </c>
      <c r="N19" s="10">
        <f t="shared" si="2"/>
        <v>0.54545454545454541</v>
      </c>
      <c r="O19" s="8">
        <v>254</v>
      </c>
      <c r="P19" s="9">
        <v>504</v>
      </c>
      <c r="Q19" s="10">
        <f t="shared" si="3"/>
        <v>0.50396825396825395</v>
      </c>
      <c r="R19" s="8">
        <v>284</v>
      </c>
      <c r="S19" s="9">
        <v>526</v>
      </c>
      <c r="T19" s="10">
        <f t="shared" si="4"/>
        <v>0.53992395437262353</v>
      </c>
      <c r="U19" s="6">
        <v>315</v>
      </c>
      <c r="V19" s="9">
        <v>630</v>
      </c>
      <c r="W19" s="10">
        <f t="shared" si="5"/>
        <v>0.5</v>
      </c>
    </row>
    <row r="20" spans="1:23" x14ac:dyDescent="0.35">
      <c r="A20" s="13" t="s">
        <v>45</v>
      </c>
      <c r="B20" s="6" t="s">
        <v>24</v>
      </c>
      <c r="C20" s="6" t="s">
        <v>36</v>
      </c>
      <c r="D20" s="6" t="s">
        <v>37</v>
      </c>
      <c r="E20" s="7">
        <f t="shared" si="6"/>
        <v>0.50661375661375663</v>
      </c>
      <c r="F20" s="8">
        <v>378</v>
      </c>
      <c r="G20" s="9">
        <v>756</v>
      </c>
      <c r="H20" s="10">
        <f t="shared" si="0"/>
        <v>0.5</v>
      </c>
      <c r="I20" s="8">
        <v>420</v>
      </c>
      <c r="J20" s="9">
        <v>840</v>
      </c>
      <c r="K20" s="10">
        <f t="shared" si="1"/>
        <v>0.5</v>
      </c>
      <c r="L20" s="8">
        <v>378</v>
      </c>
      <c r="M20" s="9">
        <v>567</v>
      </c>
      <c r="N20" s="10">
        <f t="shared" si="2"/>
        <v>0.66666666666666663</v>
      </c>
      <c r="O20" s="8">
        <v>42</v>
      </c>
      <c r="P20" s="9">
        <v>84</v>
      </c>
      <c r="Q20" s="10">
        <f t="shared" si="3"/>
        <v>0.5</v>
      </c>
      <c r="R20" s="8">
        <v>63</v>
      </c>
      <c r="S20" s="9">
        <v>147</v>
      </c>
      <c r="T20" s="10">
        <f t="shared" si="4"/>
        <v>0.42857142857142855</v>
      </c>
      <c r="U20" s="6">
        <v>84</v>
      </c>
      <c r="V20" s="9">
        <v>189</v>
      </c>
      <c r="W20" s="10">
        <f t="shared" si="5"/>
        <v>0.44444444444444442</v>
      </c>
    </row>
    <row r="21" spans="1:23" x14ac:dyDescent="0.35">
      <c r="A21" s="13" t="s">
        <v>46</v>
      </c>
      <c r="B21" s="6" t="s">
        <v>24</v>
      </c>
      <c r="C21" s="6" t="s">
        <v>36</v>
      </c>
      <c r="D21" s="6" t="s">
        <v>37</v>
      </c>
      <c r="E21" s="7">
        <f t="shared" si="6"/>
        <v>0.54726317724268136</v>
      </c>
      <c r="F21" s="8">
        <v>341</v>
      </c>
      <c r="G21" s="9">
        <v>647</v>
      </c>
      <c r="H21" s="10">
        <f t="shared" si="0"/>
        <v>0.52704791344667701</v>
      </c>
      <c r="I21" s="8">
        <v>294</v>
      </c>
      <c r="J21" s="12">
        <v>539</v>
      </c>
      <c r="K21" s="10">
        <f t="shared" si="1"/>
        <v>0.54545454545454541</v>
      </c>
      <c r="L21" s="8">
        <v>147</v>
      </c>
      <c r="M21" s="9">
        <v>315</v>
      </c>
      <c r="N21" s="10">
        <f t="shared" si="2"/>
        <v>0.46666666666666667</v>
      </c>
      <c r="O21" s="8">
        <v>126</v>
      </c>
      <c r="P21" s="9">
        <v>210</v>
      </c>
      <c r="Q21" s="10">
        <f t="shared" si="3"/>
        <v>0.6</v>
      </c>
      <c r="R21" s="8">
        <v>315</v>
      </c>
      <c r="S21" s="9">
        <v>588</v>
      </c>
      <c r="T21" s="10">
        <f t="shared" si="4"/>
        <v>0.5357142857142857</v>
      </c>
      <c r="U21" s="6">
        <v>588</v>
      </c>
      <c r="V21" s="12">
        <v>966</v>
      </c>
      <c r="W21" s="10">
        <f t="shared" si="5"/>
        <v>0.60869565217391308</v>
      </c>
    </row>
    <row r="22" spans="1:23" x14ac:dyDescent="0.35">
      <c r="A22" s="6" t="s">
        <v>47</v>
      </c>
      <c r="B22" s="6" t="s">
        <v>24</v>
      </c>
      <c r="C22" s="6" t="s">
        <v>36</v>
      </c>
      <c r="D22" s="6" t="s">
        <v>48</v>
      </c>
      <c r="E22" s="7">
        <f t="shared" si="6"/>
        <v>0.52629551820728293</v>
      </c>
      <c r="F22" s="6">
        <v>273</v>
      </c>
      <c r="G22" s="14">
        <v>504</v>
      </c>
      <c r="H22" s="10">
        <f t="shared" si="0"/>
        <v>0.54166666666666663</v>
      </c>
      <c r="I22" s="6">
        <v>336</v>
      </c>
      <c r="J22" s="14">
        <v>756</v>
      </c>
      <c r="K22" s="10">
        <f t="shared" si="1"/>
        <v>0.44444444444444442</v>
      </c>
      <c r="L22" s="6">
        <v>405</v>
      </c>
      <c r="M22" s="14">
        <v>714</v>
      </c>
      <c r="N22" s="10">
        <f t="shared" si="2"/>
        <v>0.5672268907563025</v>
      </c>
      <c r="O22" s="6">
        <v>231</v>
      </c>
      <c r="P22" s="14">
        <v>441</v>
      </c>
      <c r="Q22" s="10">
        <f t="shared" si="3"/>
        <v>0.52380952380952384</v>
      </c>
      <c r="R22" s="6">
        <v>604</v>
      </c>
      <c r="S22" s="14">
        <v>1071</v>
      </c>
      <c r="T22" s="10">
        <f t="shared" si="4"/>
        <v>0.56395891690009337</v>
      </c>
      <c r="U22" s="6">
        <v>651</v>
      </c>
      <c r="V22" s="14">
        <v>1260</v>
      </c>
      <c r="W22" s="10">
        <f t="shared" si="5"/>
        <v>0.51666666666666672</v>
      </c>
    </row>
    <row r="23" spans="1:23" x14ac:dyDescent="0.35">
      <c r="A23" s="6" t="s">
        <v>49</v>
      </c>
      <c r="B23" s="6" t="s">
        <v>24</v>
      </c>
      <c r="C23" s="6" t="s">
        <v>36</v>
      </c>
      <c r="D23" s="6" t="s">
        <v>48</v>
      </c>
      <c r="E23" s="7">
        <f t="shared" si="6"/>
        <v>0.64225509658300795</v>
      </c>
      <c r="F23" s="6">
        <v>685</v>
      </c>
      <c r="G23" s="14">
        <v>1134</v>
      </c>
      <c r="H23" s="10">
        <f t="shared" si="0"/>
        <v>0.60405643738977077</v>
      </c>
      <c r="I23" s="6">
        <v>749</v>
      </c>
      <c r="J23" s="14">
        <v>1176</v>
      </c>
      <c r="K23" s="10">
        <f t="shared" si="1"/>
        <v>0.63690476190476186</v>
      </c>
      <c r="L23" s="6">
        <v>629</v>
      </c>
      <c r="M23" s="14">
        <v>987</v>
      </c>
      <c r="N23" s="10">
        <f t="shared" si="2"/>
        <v>0.63728470111448832</v>
      </c>
      <c r="O23" s="6">
        <v>623</v>
      </c>
      <c r="P23" s="14">
        <v>966</v>
      </c>
      <c r="Q23" s="10">
        <f t="shared" si="3"/>
        <v>0.64492753623188404</v>
      </c>
      <c r="R23" s="6">
        <v>483</v>
      </c>
      <c r="S23" s="14">
        <v>756</v>
      </c>
      <c r="T23" s="10">
        <f t="shared" si="4"/>
        <v>0.63888888888888884</v>
      </c>
      <c r="U23" s="6">
        <v>697</v>
      </c>
      <c r="V23" s="14">
        <v>1008</v>
      </c>
      <c r="W23" s="10">
        <f t="shared" si="5"/>
        <v>0.69146825396825395</v>
      </c>
    </row>
    <row r="24" spans="1:23" x14ac:dyDescent="0.35">
      <c r="A24" s="6" t="s">
        <v>50</v>
      </c>
      <c r="B24" s="6" t="s">
        <v>24</v>
      </c>
      <c r="C24" s="6" t="s">
        <v>36</v>
      </c>
      <c r="D24" s="6" t="s">
        <v>48</v>
      </c>
      <c r="E24" s="7">
        <f t="shared" si="6"/>
        <v>0.54321943045133636</v>
      </c>
      <c r="F24" s="6">
        <v>273</v>
      </c>
      <c r="G24" s="14">
        <v>462</v>
      </c>
      <c r="H24" s="10">
        <f t="shared" si="0"/>
        <v>0.59090909090909094</v>
      </c>
      <c r="I24" s="6">
        <v>324</v>
      </c>
      <c r="J24" s="14">
        <v>609</v>
      </c>
      <c r="K24" s="10">
        <f t="shared" si="1"/>
        <v>0.53201970443349755</v>
      </c>
      <c r="L24" s="6">
        <v>621</v>
      </c>
      <c r="M24" s="14">
        <v>1071</v>
      </c>
      <c r="N24" s="10">
        <f t="shared" si="2"/>
        <v>0.57983193277310929</v>
      </c>
      <c r="O24" s="6">
        <v>525</v>
      </c>
      <c r="P24" s="14">
        <v>966</v>
      </c>
      <c r="Q24" s="10">
        <f t="shared" si="3"/>
        <v>0.54347826086956519</v>
      </c>
      <c r="R24" s="6">
        <v>756</v>
      </c>
      <c r="S24" s="14">
        <v>1302</v>
      </c>
      <c r="T24" s="10">
        <f t="shared" si="4"/>
        <v>0.58064516129032262</v>
      </c>
      <c r="U24" s="6">
        <v>672</v>
      </c>
      <c r="V24" s="14">
        <v>1554</v>
      </c>
      <c r="W24" s="10">
        <f t="shared" si="5"/>
        <v>0.43243243243243246</v>
      </c>
    </row>
    <row r="25" spans="1:23" x14ac:dyDescent="0.35">
      <c r="A25" s="6" t="s">
        <v>51</v>
      </c>
      <c r="B25" s="6" t="s">
        <v>24</v>
      </c>
      <c r="C25" s="6" t="s">
        <v>36</v>
      </c>
      <c r="D25" s="6" t="s">
        <v>48</v>
      </c>
      <c r="E25" s="7">
        <f t="shared" si="6"/>
        <v>0.52197900768960193</v>
      </c>
      <c r="F25" s="6">
        <v>437</v>
      </c>
      <c r="G25" s="14">
        <v>819</v>
      </c>
      <c r="H25" s="10">
        <f t="shared" si="0"/>
        <v>0.53357753357753357</v>
      </c>
      <c r="I25" s="6">
        <v>405</v>
      </c>
      <c r="J25" s="14">
        <v>756</v>
      </c>
      <c r="K25" s="10">
        <f t="shared" si="1"/>
        <v>0.5357142857142857</v>
      </c>
      <c r="L25" s="6">
        <v>261</v>
      </c>
      <c r="M25" s="14">
        <v>525</v>
      </c>
      <c r="N25" s="10">
        <f t="shared" si="2"/>
        <v>0.49714285714285716</v>
      </c>
      <c r="O25" s="6">
        <v>515</v>
      </c>
      <c r="P25" s="14">
        <v>924</v>
      </c>
      <c r="Q25" s="10">
        <f t="shared" si="3"/>
        <v>0.55735930735930739</v>
      </c>
      <c r="R25" s="6">
        <v>458</v>
      </c>
      <c r="S25" s="14">
        <v>903</v>
      </c>
      <c r="T25" s="10">
        <f t="shared" si="4"/>
        <v>0.50719822812846072</v>
      </c>
      <c r="U25" s="6">
        <v>568</v>
      </c>
      <c r="V25" s="14">
        <v>1134</v>
      </c>
      <c r="W25" s="10">
        <f t="shared" si="5"/>
        <v>0.50088183421516752</v>
      </c>
    </row>
    <row r="26" spans="1:23" x14ac:dyDescent="0.35">
      <c r="A26" s="6" t="s">
        <v>52</v>
      </c>
      <c r="B26" s="6" t="s">
        <v>24</v>
      </c>
      <c r="C26" s="6" t="s">
        <v>36</v>
      </c>
      <c r="D26" s="6" t="s">
        <v>48</v>
      </c>
      <c r="E26" s="7">
        <f t="shared" si="6"/>
        <v>0.50598472239249126</v>
      </c>
      <c r="F26" s="6">
        <v>273</v>
      </c>
      <c r="G26" s="14">
        <v>504</v>
      </c>
      <c r="H26" s="10">
        <f t="shared" si="0"/>
        <v>0.54166666666666663</v>
      </c>
      <c r="I26" s="6">
        <v>609</v>
      </c>
      <c r="J26" s="12">
        <v>1197</v>
      </c>
      <c r="K26" s="10">
        <f t="shared" si="1"/>
        <v>0.50877192982456143</v>
      </c>
      <c r="L26" s="6">
        <v>399</v>
      </c>
      <c r="M26" s="14">
        <v>777</v>
      </c>
      <c r="N26" s="10">
        <f t="shared" si="2"/>
        <v>0.51351351351351349</v>
      </c>
      <c r="O26" s="6">
        <v>210</v>
      </c>
      <c r="P26" s="14">
        <v>357</v>
      </c>
      <c r="Q26" s="10">
        <f t="shared" si="3"/>
        <v>0.58823529411764708</v>
      </c>
      <c r="R26" s="6">
        <v>336</v>
      </c>
      <c r="S26" s="14">
        <v>672</v>
      </c>
      <c r="T26" s="10">
        <f t="shared" si="4"/>
        <v>0.5</v>
      </c>
      <c r="U26" s="6">
        <v>693</v>
      </c>
      <c r="V26" s="12">
        <v>1806</v>
      </c>
      <c r="W26" s="10">
        <f t="shared" si="5"/>
        <v>0.38372093023255816</v>
      </c>
    </row>
    <row r="27" spans="1:23" x14ac:dyDescent="0.35">
      <c r="A27" s="6" t="s">
        <v>53</v>
      </c>
      <c r="B27" s="6" t="s">
        <v>24</v>
      </c>
      <c r="C27" s="6" t="s">
        <v>36</v>
      </c>
      <c r="D27" s="6" t="s">
        <v>48</v>
      </c>
      <c r="E27" s="7">
        <f t="shared" si="6"/>
        <v>0.54681071824185168</v>
      </c>
      <c r="F27" s="6">
        <v>228</v>
      </c>
      <c r="G27" s="14">
        <v>420</v>
      </c>
      <c r="H27" s="10">
        <f t="shared" si="0"/>
        <v>0.54285714285714282</v>
      </c>
      <c r="I27" s="6">
        <v>167</v>
      </c>
      <c r="J27" s="14">
        <v>273</v>
      </c>
      <c r="K27" s="10">
        <f t="shared" si="1"/>
        <v>0.61172161172161177</v>
      </c>
      <c r="L27" s="6">
        <v>189</v>
      </c>
      <c r="M27" s="14">
        <v>357</v>
      </c>
      <c r="N27" s="10">
        <f t="shared" si="2"/>
        <v>0.52941176470588236</v>
      </c>
      <c r="O27" s="6">
        <v>398</v>
      </c>
      <c r="P27" s="14">
        <v>840</v>
      </c>
      <c r="Q27" s="10">
        <f t="shared" si="3"/>
        <v>0.47380952380952379</v>
      </c>
      <c r="R27" s="6">
        <v>271</v>
      </c>
      <c r="S27" s="14">
        <v>504</v>
      </c>
      <c r="T27" s="10">
        <f t="shared" si="4"/>
        <v>0.53769841269841268</v>
      </c>
      <c r="U27" s="6">
        <v>504</v>
      </c>
      <c r="V27" s="14">
        <v>861</v>
      </c>
      <c r="W27" s="10">
        <f t="shared" si="5"/>
        <v>0.58536585365853655</v>
      </c>
    </row>
    <row r="28" spans="1:23" x14ac:dyDescent="0.35">
      <c r="A28" s="6" t="s">
        <v>54</v>
      </c>
      <c r="B28" s="6" t="s">
        <v>24</v>
      </c>
      <c r="C28" s="6" t="s">
        <v>36</v>
      </c>
      <c r="D28" s="6" t="s">
        <v>48</v>
      </c>
      <c r="E28" s="7">
        <f t="shared" si="6"/>
        <v>0.48619707928360906</v>
      </c>
      <c r="F28" s="6">
        <v>499</v>
      </c>
      <c r="G28" s="14">
        <v>1050</v>
      </c>
      <c r="H28" s="10">
        <f t="shared" si="0"/>
        <v>0.47523809523809524</v>
      </c>
      <c r="I28" s="6">
        <v>267</v>
      </c>
      <c r="J28" s="14">
        <v>588</v>
      </c>
      <c r="K28" s="10">
        <f t="shared" si="1"/>
        <v>0.45408163265306123</v>
      </c>
      <c r="L28" s="6">
        <v>766</v>
      </c>
      <c r="M28" s="12">
        <v>1554</v>
      </c>
      <c r="N28" s="10">
        <f t="shared" si="2"/>
        <v>0.4929214929214929</v>
      </c>
      <c r="O28" s="6">
        <v>483</v>
      </c>
      <c r="P28" s="14">
        <v>903</v>
      </c>
      <c r="Q28" s="10">
        <f t="shared" si="3"/>
        <v>0.53488372093023251</v>
      </c>
      <c r="R28" s="6">
        <v>903</v>
      </c>
      <c r="S28" s="14">
        <v>1743</v>
      </c>
      <c r="T28" s="10">
        <f t="shared" si="4"/>
        <v>0.51807228915662651</v>
      </c>
      <c r="U28" s="6">
        <v>659</v>
      </c>
      <c r="V28" s="14">
        <v>1491</v>
      </c>
      <c r="W28" s="10">
        <f t="shared" si="5"/>
        <v>0.44198524480214624</v>
      </c>
    </row>
    <row r="29" spans="1:23" x14ac:dyDescent="0.35">
      <c r="A29" s="6" t="s">
        <v>55</v>
      </c>
      <c r="B29" s="6" t="s">
        <v>24</v>
      </c>
      <c r="C29" s="6" t="s">
        <v>36</v>
      </c>
      <c r="D29" s="6" t="s">
        <v>48</v>
      </c>
      <c r="E29" s="7">
        <f t="shared" si="6"/>
        <v>0.53735165019359554</v>
      </c>
      <c r="F29" s="6">
        <v>210</v>
      </c>
      <c r="G29" s="14">
        <v>315</v>
      </c>
      <c r="H29" s="10">
        <f t="shared" si="0"/>
        <v>0.66666666666666663</v>
      </c>
      <c r="I29" s="6">
        <v>294</v>
      </c>
      <c r="J29" s="14">
        <v>504</v>
      </c>
      <c r="K29" s="10">
        <f t="shared" si="1"/>
        <v>0.58333333333333337</v>
      </c>
      <c r="L29" s="6">
        <v>399</v>
      </c>
      <c r="M29" s="14">
        <v>693</v>
      </c>
      <c r="N29" s="10">
        <f t="shared" si="2"/>
        <v>0.5757575757575758</v>
      </c>
      <c r="O29" s="6">
        <v>483</v>
      </c>
      <c r="P29" s="14">
        <v>987</v>
      </c>
      <c r="Q29" s="10">
        <f t="shared" si="3"/>
        <v>0.48936170212765956</v>
      </c>
      <c r="R29" s="6">
        <v>546</v>
      </c>
      <c r="S29" s="14">
        <v>1029</v>
      </c>
      <c r="T29" s="10">
        <f t="shared" si="4"/>
        <v>0.53061224489795922</v>
      </c>
      <c r="U29" s="6">
        <v>294</v>
      </c>
      <c r="V29" s="14">
        <v>777</v>
      </c>
      <c r="W29" s="10">
        <f t="shared" si="5"/>
        <v>0.3783783783783784</v>
      </c>
    </row>
    <row r="30" spans="1:23" x14ac:dyDescent="0.35">
      <c r="A30" s="6" t="s">
        <v>56</v>
      </c>
      <c r="B30" s="6" t="s">
        <v>24</v>
      </c>
      <c r="C30" s="6" t="s">
        <v>36</v>
      </c>
      <c r="D30" s="6" t="s">
        <v>48</v>
      </c>
      <c r="E30" s="7">
        <f t="shared" si="6"/>
        <v>0.52603252484729079</v>
      </c>
      <c r="F30" s="6">
        <v>429</v>
      </c>
      <c r="G30" s="14">
        <v>798</v>
      </c>
      <c r="H30" s="10">
        <f t="shared" si="0"/>
        <v>0.53759398496240607</v>
      </c>
      <c r="I30" s="6">
        <v>336</v>
      </c>
      <c r="J30" s="12">
        <v>643</v>
      </c>
      <c r="K30" s="10">
        <f t="shared" si="1"/>
        <v>0.52255054432348369</v>
      </c>
      <c r="L30" s="6">
        <v>298</v>
      </c>
      <c r="M30" s="12">
        <v>527</v>
      </c>
      <c r="N30" s="10">
        <f t="shared" si="2"/>
        <v>0.56546489563567359</v>
      </c>
      <c r="O30" s="6">
        <v>418</v>
      </c>
      <c r="P30" s="12">
        <v>841</v>
      </c>
      <c r="Q30" s="10">
        <f t="shared" si="3"/>
        <v>0.49702734839476814</v>
      </c>
      <c r="R30" s="6">
        <v>331</v>
      </c>
      <c r="S30" s="12">
        <v>632</v>
      </c>
      <c r="T30" s="10">
        <f t="shared" si="4"/>
        <v>0.52373417721518989</v>
      </c>
      <c r="U30" s="6">
        <v>493</v>
      </c>
      <c r="V30" s="12">
        <v>967</v>
      </c>
      <c r="W30" s="10">
        <f t="shared" si="5"/>
        <v>0.50982419855222338</v>
      </c>
    </row>
    <row r="31" spans="1:23" x14ac:dyDescent="0.35">
      <c r="A31" s="6" t="s">
        <v>57</v>
      </c>
      <c r="B31" s="6" t="s">
        <v>24</v>
      </c>
      <c r="C31" s="6" t="s">
        <v>36</v>
      </c>
      <c r="D31" s="6" t="s">
        <v>48</v>
      </c>
      <c r="E31" s="7">
        <f t="shared" si="6"/>
        <v>0.50096986493352169</v>
      </c>
      <c r="F31" s="6">
        <v>588</v>
      </c>
      <c r="G31" s="14">
        <v>1176</v>
      </c>
      <c r="H31" s="10">
        <f t="shared" si="0"/>
        <v>0.5</v>
      </c>
      <c r="I31" s="6">
        <v>896</v>
      </c>
      <c r="J31" s="12">
        <v>1827</v>
      </c>
      <c r="K31" s="10">
        <f t="shared" si="1"/>
        <v>0.49042145593869729</v>
      </c>
      <c r="L31" s="6">
        <v>1351</v>
      </c>
      <c r="M31" s="12">
        <v>2429</v>
      </c>
      <c r="N31" s="10">
        <f t="shared" si="2"/>
        <v>0.55619596541786742</v>
      </c>
      <c r="O31" s="6">
        <v>665</v>
      </c>
      <c r="P31" s="12">
        <v>1393</v>
      </c>
      <c r="Q31" s="10">
        <f t="shared" si="3"/>
        <v>0.47738693467336685</v>
      </c>
      <c r="R31" s="6">
        <v>621</v>
      </c>
      <c r="S31" s="12">
        <v>1218</v>
      </c>
      <c r="T31" s="10">
        <f t="shared" si="4"/>
        <v>0.50985221674876846</v>
      </c>
      <c r="U31" s="6">
        <v>707</v>
      </c>
      <c r="V31" s="12">
        <v>1498</v>
      </c>
      <c r="W31" s="10">
        <f t="shared" si="5"/>
        <v>0.4719626168224299</v>
      </c>
    </row>
    <row r="32" spans="1:23" x14ac:dyDescent="0.35">
      <c r="A32" s="6" t="s">
        <v>58</v>
      </c>
      <c r="B32" s="6" t="s">
        <v>24</v>
      </c>
      <c r="C32" s="6" t="s">
        <v>36</v>
      </c>
      <c r="D32" s="6" t="s">
        <v>59</v>
      </c>
      <c r="E32" s="7">
        <f t="shared" si="6"/>
        <v>0.5177777177629298</v>
      </c>
      <c r="F32" s="6">
        <v>697</v>
      </c>
      <c r="G32" s="14">
        <v>1358</v>
      </c>
      <c r="H32" s="10">
        <f t="shared" si="0"/>
        <v>0.51325478645066269</v>
      </c>
      <c r="I32" s="6">
        <v>893</v>
      </c>
      <c r="J32" s="14">
        <v>1746</v>
      </c>
      <c r="K32" s="10">
        <f t="shared" si="1"/>
        <v>0.51145475372279492</v>
      </c>
      <c r="L32" s="6">
        <v>678</v>
      </c>
      <c r="M32" s="14">
        <v>1261</v>
      </c>
      <c r="N32" s="10">
        <f t="shared" si="2"/>
        <v>0.53766851704996033</v>
      </c>
      <c r="O32" s="6">
        <v>401</v>
      </c>
      <c r="P32" s="14">
        <v>776</v>
      </c>
      <c r="Q32" s="10">
        <f t="shared" si="3"/>
        <v>0.51675257731958768</v>
      </c>
      <c r="R32" s="15">
        <v>512</v>
      </c>
      <c r="S32" s="16">
        <v>976</v>
      </c>
      <c r="T32" s="10">
        <f t="shared" si="4"/>
        <v>0.52459016393442626</v>
      </c>
      <c r="U32" s="15">
        <v>683</v>
      </c>
      <c r="V32" s="16">
        <v>1358</v>
      </c>
      <c r="W32" s="10">
        <f t="shared" si="5"/>
        <v>0.50294550810014726</v>
      </c>
    </row>
    <row r="33" spans="1:23" x14ac:dyDescent="0.35">
      <c r="A33" s="6" t="s">
        <v>60</v>
      </c>
      <c r="B33" s="6" t="s">
        <v>24</v>
      </c>
      <c r="C33" s="6" t="s">
        <v>36</v>
      </c>
      <c r="D33" s="6" t="s">
        <v>59</v>
      </c>
      <c r="E33" s="7">
        <f t="shared" si="6"/>
        <v>0.59368660378634086</v>
      </c>
      <c r="F33" s="6">
        <v>507</v>
      </c>
      <c r="G33" s="14">
        <v>873</v>
      </c>
      <c r="H33" s="10">
        <f t="shared" si="0"/>
        <v>0.58075601374570451</v>
      </c>
      <c r="I33" s="6">
        <v>816</v>
      </c>
      <c r="J33" s="14">
        <v>1358</v>
      </c>
      <c r="K33" s="10">
        <f t="shared" si="1"/>
        <v>0.60088365243004416</v>
      </c>
      <c r="L33" s="6">
        <v>1013</v>
      </c>
      <c r="M33" s="14">
        <v>1649</v>
      </c>
      <c r="N33" s="10">
        <f t="shared" si="2"/>
        <v>0.61431170406306856</v>
      </c>
      <c r="O33" s="6">
        <v>311</v>
      </c>
      <c r="P33" s="14">
        <v>533</v>
      </c>
      <c r="Q33" s="10">
        <f t="shared" si="3"/>
        <v>0.58348968105065668</v>
      </c>
      <c r="R33" s="15">
        <v>388</v>
      </c>
      <c r="S33" s="16">
        <v>679</v>
      </c>
      <c r="T33" s="10">
        <f t="shared" si="4"/>
        <v>0.5714285714285714</v>
      </c>
      <c r="U33" s="15">
        <v>978</v>
      </c>
      <c r="V33" s="16">
        <v>1600</v>
      </c>
      <c r="W33" s="10">
        <f t="shared" si="5"/>
        <v>0.61124999999999996</v>
      </c>
    </row>
    <row r="34" spans="1:23" x14ac:dyDescent="0.35">
      <c r="A34" s="6" t="s">
        <v>61</v>
      </c>
      <c r="B34" s="6" t="s">
        <v>24</v>
      </c>
      <c r="C34" s="6" t="s">
        <v>36</v>
      </c>
      <c r="D34" s="6" t="s">
        <v>59</v>
      </c>
      <c r="E34" s="7">
        <f t="shared" si="6"/>
        <v>0.6995961017993807</v>
      </c>
      <c r="F34" s="6">
        <v>617</v>
      </c>
      <c r="G34" s="14">
        <v>921</v>
      </c>
      <c r="H34" s="10">
        <f t="shared" si="0"/>
        <v>0.66992399565689464</v>
      </c>
      <c r="I34" s="6">
        <v>1243</v>
      </c>
      <c r="J34" s="14">
        <v>1697</v>
      </c>
      <c r="K34" s="10">
        <f t="shared" si="1"/>
        <v>0.73246906305244552</v>
      </c>
      <c r="L34" s="6">
        <v>925</v>
      </c>
      <c r="M34" s="14">
        <v>1309</v>
      </c>
      <c r="N34" s="10">
        <f t="shared" si="2"/>
        <v>0.70664629488158903</v>
      </c>
      <c r="O34" s="6">
        <v>684</v>
      </c>
      <c r="P34" s="14">
        <v>970</v>
      </c>
      <c r="Q34" s="10">
        <f t="shared" si="3"/>
        <v>0.70515463917525778</v>
      </c>
      <c r="R34" s="15">
        <v>713</v>
      </c>
      <c r="S34" s="16">
        <v>1018</v>
      </c>
      <c r="T34" s="10">
        <f t="shared" si="4"/>
        <v>0.70039292730844793</v>
      </c>
      <c r="U34" s="15">
        <v>530</v>
      </c>
      <c r="V34" s="16">
        <v>776</v>
      </c>
      <c r="W34" s="10">
        <f t="shared" si="5"/>
        <v>0.6829896907216495</v>
      </c>
    </row>
    <row r="35" spans="1:23" x14ac:dyDescent="0.35">
      <c r="A35" s="6" t="s">
        <v>62</v>
      </c>
      <c r="B35" s="6" t="s">
        <v>24</v>
      </c>
      <c r="C35" s="6" t="s">
        <v>36</v>
      </c>
      <c r="D35" s="6" t="s">
        <v>59</v>
      </c>
      <c r="E35" s="7">
        <f t="shared" si="6"/>
        <v>0.65115306156947084</v>
      </c>
      <c r="F35" s="6">
        <v>425</v>
      </c>
      <c r="G35" s="14">
        <v>630</v>
      </c>
      <c r="H35" s="10">
        <f t="shared" si="0"/>
        <v>0.67460317460317465</v>
      </c>
      <c r="I35" s="6">
        <v>533</v>
      </c>
      <c r="J35" s="14">
        <v>824</v>
      </c>
      <c r="K35" s="10">
        <f t="shared" si="1"/>
        <v>0.64684466019417475</v>
      </c>
      <c r="L35" s="6">
        <v>574</v>
      </c>
      <c r="M35" s="14">
        <v>776</v>
      </c>
      <c r="N35" s="10">
        <f t="shared" si="2"/>
        <v>0.73969072164948457</v>
      </c>
      <c r="O35" s="6">
        <v>676</v>
      </c>
      <c r="P35" s="14">
        <v>1067</v>
      </c>
      <c r="Q35" s="10">
        <f t="shared" si="3"/>
        <v>0.63355201499531399</v>
      </c>
      <c r="R35" s="15">
        <v>604</v>
      </c>
      <c r="S35" s="16">
        <v>1023</v>
      </c>
      <c r="T35" s="10">
        <f t="shared" si="4"/>
        <v>0.59042033235581626</v>
      </c>
      <c r="U35" s="15">
        <v>633</v>
      </c>
      <c r="V35" s="16">
        <v>1018</v>
      </c>
      <c r="W35" s="10">
        <f t="shared" si="5"/>
        <v>0.62180746561886047</v>
      </c>
    </row>
    <row r="36" spans="1:23" x14ac:dyDescent="0.35">
      <c r="A36" s="6" t="s">
        <v>63</v>
      </c>
      <c r="B36" s="6" t="s">
        <v>24</v>
      </c>
      <c r="C36" s="6" t="s">
        <v>36</v>
      </c>
      <c r="D36" s="6" t="s">
        <v>59</v>
      </c>
      <c r="E36" s="7">
        <f t="shared" si="6"/>
        <v>0.68759226874406154</v>
      </c>
      <c r="F36" s="6">
        <v>254</v>
      </c>
      <c r="G36" s="14">
        <v>368</v>
      </c>
      <c r="H36" s="10">
        <f t="shared" si="0"/>
        <v>0.69021739130434778</v>
      </c>
      <c r="I36" s="15">
        <v>279</v>
      </c>
      <c r="J36" s="16">
        <v>419</v>
      </c>
      <c r="K36" s="10">
        <f t="shared" si="1"/>
        <v>0.66587112171837703</v>
      </c>
      <c r="L36" s="15">
        <v>201</v>
      </c>
      <c r="M36" s="16">
        <v>288</v>
      </c>
      <c r="N36" s="10">
        <f t="shared" si="2"/>
        <v>0.69791666666666663</v>
      </c>
      <c r="O36" s="15">
        <v>219</v>
      </c>
      <c r="P36" s="16">
        <v>327</v>
      </c>
      <c r="Q36" s="10">
        <f t="shared" si="3"/>
        <v>0.66972477064220182</v>
      </c>
      <c r="R36" s="15">
        <v>357</v>
      </c>
      <c r="S36" s="16">
        <v>503</v>
      </c>
      <c r="T36" s="10">
        <f t="shared" si="4"/>
        <v>0.70974155069582501</v>
      </c>
      <c r="U36" s="15">
        <v>236</v>
      </c>
      <c r="V36" s="16">
        <v>341</v>
      </c>
      <c r="W36" s="10">
        <f t="shared" si="5"/>
        <v>0.6920821114369502</v>
      </c>
    </row>
    <row r="37" spans="1:23" x14ac:dyDescent="0.35">
      <c r="A37" s="6" t="s">
        <v>64</v>
      </c>
      <c r="B37" s="6" t="s">
        <v>24</v>
      </c>
      <c r="C37" s="6" t="s">
        <v>36</v>
      </c>
      <c r="D37" s="6" t="s">
        <v>59</v>
      </c>
      <c r="E37" s="7">
        <f t="shared" si="6"/>
        <v>0.48496265042005965</v>
      </c>
      <c r="F37" s="6">
        <v>252</v>
      </c>
      <c r="G37" s="14">
        <v>484</v>
      </c>
      <c r="H37" s="10">
        <f t="shared" si="0"/>
        <v>0.52066115702479343</v>
      </c>
      <c r="I37" s="15">
        <v>504</v>
      </c>
      <c r="J37" s="16">
        <v>1084</v>
      </c>
      <c r="K37" s="10">
        <f t="shared" si="1"/>
        <v>0.46494464944649444</v>
      </c>
      <c r="L37" s="15">
        <v>117</v>
      </c>
      <c r="M37" s="16">
        <v>236</v>
      </c>
      <c r="N37" s="10">
        <f t="shared" si="2"/>
        <v>0.49576271186440679</v>
      </c>
      <c r="O37" s="15">
        <v>273</v>
      </c>
      <c r="P37" s="16">
        <v>582</v>
      </c>
      <c r="Q37" s="10">
        <f t="shared" si="3"/>
        <v>0.46907216494845361</v>
      </c>
      <c r="R37" s="15">
        <v>300</v>
      </c>
      <c r="S37" s="16">
        <v>606</v>
      </c>
      <c r="T37" s="10">
        <f t="shared" si="4"/>
        <v>0.49504950495049505</v>
      </c>
      <c r="U37" s="15">
        <v>312</v>
      </c>
      <c r="V37" s="16">
        <v>672</v>
      </c>
      <c r="W37" s="10">
        <f t="shared" si="5"/>
        <v>0.4642857142857143</v>
      </c>
    </row>
    <row r="38" spans="1:23" x14ac:dyDescent="0.35">
      <c r="A38" s="6" t="s">
        <v>65</v>
      </c>
      <c r="B38" s="6" t="s">
        <v>24</v>
      </c>
      <c r="C38" s="6" t="s">
        <v>36</v>
      </c>
      <c r="D38" s="6" t="s">
        <v>59</v>
      </c>
      <c r="E38" s="7">
        <f t="shared" si="6"/>
        <v>0.47649209534406817</v>
      </c>
      <c r="F38" s="15">
        <v>301.60000000000002</v>
      </c>
      <c r="G38" s="16">
        <v>616.20000000000005</v>
      </c>
      <c r="H38" s="10">
        <f t="shared" si="0"/>
        <v>0.48945147679324896</v>
      </c>
      <c r="I38" s="15">
        <v>481</v>
      </c>
      <c r="J38" s="16">
        <v>941.2</v>
      </c>
      <c r="K38" s="10">
        <f t="shared" si="1"/>
        <v>0.51104972375690605</v>
      </c>
      <c r="L38" s="15">
        <v>283.40000000000003</v>
      </c>
      <c r="M38" s="16">
        <v>574.6</v>
      </c>
      <c r="N38" s="10">
        <f t="shared" si="2"/>
        <v>0.49321266968325794</v>
      </c>
      <c r="O38" s="15">
        <v>330.2</v>
      </c>
      <c r="P38" s="16">
        <v>746.2</v>
      </c>
      <c r="Q38" s="10">
        <f t="shared" si="3"/>
        <v>0.4425087108013937</v>
      </c>
      <c r="R38" s="15">
        <v>392.6</v>
      </c>
      <c r="S38" s="16">
        <v>821.6</v>
      </c>
      <c r="T38" s="10">
        <f t="shared" si="4"/>
        <v>0.47784810126582278</v>
      </c>
      <c r="U38" s="15">
        <v>293.8</v>
      </c>
      <c r="V38" s="16">
        <v>660.4</v>
      </c>
      <c r="W38" s="10">
        <f t="shared" si="5"/>
        <v>0.44488188976377957</v>
      </c>
    </row>
    <row r="39" spans="1:23" x14ac:dyDescent="0.35">
      <c r="A39" s="6" t="s">
        <v>66</v>
      </c>
      <c r="B39" s="6" t="s">
        <v>24</v>
      </c>
      <c r="C39" s="6" t="s">
        <v>36</v>
      </c>
      <c r="D39" s="6" t="s">
        <v>59</v>
      </c>
      <c r="E39" s="7">
        <f t="shared" si="6"/>
        <v>0.65389030633071077</v>
      </c>
      <c r="F39" s="15">
        <v>431.6</v>
      </c>
      <c r="G39" s="16">
        <v>634.4</v>
      </c>
      <c r="H39" s="10">
        <f t="shared" si="0"/>
        <v>0.68032786885245911</v>
      </c>
      <c r="I39" s="15">
        <v>395.2</v>
      </c>
      <c r="J39" s="16">
        <v>592.80000000000007</v>
      </c>
      <c r="K39" s="10">
        <f t="shared" si="1"/>
        <v>0.66666666666666652</v>
      </c>
      <c r="L39" s="15">
        <v>481</v>
      </c>
      <c r="M39" s="16">
        <v>772.2</v>
      </c>
      <c r="N39" s="10">
        <f t="shared" si="2"/>
        <v>0.62289562289562284</v>
      </c>
      <c r="O39" s="15">
        <v>512.20000000000005</v>
      </c>
      <c r="P39" s="16">
        <v>790.4</v>
      </c>
      <c r="Q39" s="10">
        <f t="shared" si="3"/>
        <v>0.64802631578947378</v>
      </c>
      <c r="R39" s="15">
        <v>392.6</v>
      </c>
      <c r="S39" s="16">
        <v>613.6</v>
      </c>
      <c r="T39" s="10">
        <f t="shared" si="4"/>
        <v>0.63983050847457623</v>
      </c>
      <c r="U39" s="15">
        <v>538.20000000000005</v>
      </c>
      <c r="V39" s="16">
        <v>808.6</v>
      </c>
      <c r="W39" s="10">
        <f t="shared" si="5"/>
        <v>0.66559485530546625</v>
      </c>
    </row>
    <row r="40" spans="1:23" x14ac:dyDescent="0.35">
      <c r="A40" s="6" t="s">
        <v>67</v>
      </c>
      <c r="B40" s="6" t="s">
        <v>24</v>
      </c>
      <c r="C40" s="6" t="s">
        <v>36</v>
      </c>
      <c r="D40" s="6" t="s">
        <v>59</v>
      </c>
      <c r="E40" s="7">
        <f t="shared" si="6"/>
        <v>0.70770670185690054</v>
      </c>
      <c r="F40" s="15">
        <v>564.20000000000005</v>
      </c>
      <c r="G40" s="16">
        <v>782.6</v>
      </c>
      <c r="H40" s="10">
        <f t="shared" si="0"/>
        <v>0.72093023255813959</v>
      </c>
      <c r="I40" s="15">
        <v>533</v>
      </c>
      <c r="J40" s="16">
        <v>725.4</v>
      </c>
      <c r="K40" s="10">
        <f t="shared" si="1"/>
        <v>0.73476702508960579</v>
      </c>
      <c r="L40" s="15">
        <v>452.40000000000003</v>
      </c>
      <c r="M40" s="16">
        <v>639.6</v>
      </c>
      <c r="N40" s="10">
        <f t="shared" si="2"/>
        <v>0.70731707317073178</v>
      </c>
      <c r="O40" s="15">
        <v>587.6</v>
      </c>
      <c r="P40" s="16">
        <v>850.2</v>
      </c>
      <c r="Q40" s="10">
        <f t="shared" si="3"/>
        <v>0.69113149847094801</v>
      </c>
      <c r="R40" s="15">
        <v>556.4</v>
      </c>
      <c r="S40" s="16">
        <v>787.80000000000007</v>
      </c>
      <c r="T40" s="10">
        <f t="shared" si="4"/>
        <v>0.70627062706270616</v>
      </c>
      <c r="U40" s="15">
        <v>465.40000000000003</v>
      </c>
      <c r="V40" s="16">
        <v>678.6</v>
      </c>
      <c r="W40" s="10">
        <f t="shared" si="5"/>
        <v>0.68582375478927204</v>
      </c>
    </row>
    <row r="41" spans="1:23" x14ac:dyDescent="0.35">
      <c r="A41" s="6" t="s">
        <v>68</v>
      </c>
      <c r="B41" s="6" t="s">
        <v>24</v>
      </c>
      <c r="C41" s="6" t="s">
        <v>36</v>
      </c>
      <c r="D41" s="6" t="s">
        <v>59</v>
      </c>
      <c r="E41" s="7">
        <f t="shared" si="6"/>
        <v>0.54534594791502</v>
      </c>
      <c r="F41" s="15">
        <v>319.8</v>
      </c>
      <c r="G41" s="16">
        <v>548.6</v>
      </c>
      <c r="H41" s="10">
        <f t="shared" si="0"/>
        <v>0.58293838862559244</v>
      </c>
      <c r="I41" s="15">
        <v>252.20000000000002</v>
      </c>
      <c r="J41" s="16">
        <v>486.2</v>
      </c>
      <c r="K41" s="10">
        <f t="shared" si="1"/>
        <v>0.51871657754010703</v>
      </c>
      <c r="L41" s="15">
        <v>314.60000000000002</v>
      </c>
      <c r="M41" s="16">
        <v>587.6</v>
      </c>
      <c r="N41" s="10">
        <f t="shared" si="2"/>
        <v>0.53539823008849563</v>
      </c>
      <c r="O41" s="15">
        <v>348.40000000000003</v>
      </c>
      <c r="P41" s="16">
        <v>631.80000000000007</v>
      </c>
      <c r="Q41" s="10">
        <f t="shared" si="3"/>
        <v>0.55144032921810704</v>
      </c>
      <c r="R41" s="15">
        <v>278.2</v>
      </c>
      <c r="S41" s="16">
        <v>517.4</v>
      </c>
      <c r="T41" s="10">
        <f t="shared" si="4"/>
        <v>0.53768844221105527</v>
      </c>
      <c r="U41" s="15">
        <v>293.8</v>
      </c>
      <c r="V41" s="16">
        <v>538.20000000000005</v>
      </c>
      <c r="W41" s="10">
        <f t="shared" si="5"/>
        <v>0.54589371980676327</v>
      </c>
    </row>
    <row r="42" spans="1:23" x14ac:dyDescent="0.35">
      <c r="A42" s="6" t="s">
        <v>69</v>
      </c>
      <c r="B42" s="6" t="s">
        <v>70</v>
      </c>
      <c r="C42" s="6" t="s">
        <v>36</v>
      </c>
      <c r="D42" s="6" t="s">
        <v>70</v>
      </c>
      <c r="E42" s="7">
        <f t="shared" si="6"/>
        <v>0.76403131613335651</v>
      </c>
      <c r="F42" s="15">
        <v>291.2</v>
      </c>
      <c r="G42" s="16">
        <v>379.6</v>
      </c>
      <c r="H42" s="10">
        <f t="shared" si="0"/>
        <v>0.76712328767123283</v>
      </c>
      <c r="I42" s="15">
        <v>384.8</v>
      </c>
      <c r="J42" s="16">
        <v>522.6</v>
      </c>
      <c r="K42" s="10">
        <f t="shared" si="1"/>
        <v>0.73631840796019898</v>
      </c>
      <c r="L42" s="15">
        <v>423.8</v>
      </c>
      <c r="M42" s="16">
        <v>527.80000000000007</v>
      </c>
      <c r="N42" s="10">
        <f t="shared" si="2"/>
        <v>0.80295566502463045</v>
      </c>
      <c r="O42" s="15">
        <v>262.60000000000002</v>
      </c>
      <c r="P42" s="16">
        <v>358.8</v>
      </c>
      <c r="Q42" s="10">
        <f t="shared" si="3"/>
        <v>0.73188405797101452</v>
      </c>
      <c r="R42" s="15">
        <v>322.40000000000003</v>
      </c>
      <c r="S42" s="16">
        <v>408.2</v>
      </c>
      <c r="T42" s="10">
        <f t="shared" si="4"/>
        <v>0.78980891719745239</v>
      </c>
      <c r="U42" s="15">
        <v>322.40000000000003</v>
      </c>
      <c r="V42" s="16">
        <v>426.40000000000003</v>
      </c>
      <c r="W42" s="10">
        <f t="shared" si="5"/>
        <v>0.75609756097560976</v>
      </c>
    </row>
    <row r="43" spans="1:23" x14ac:dyDescent="0.35">
      <c r="A43" s="6" t="s">
        <v>71</v>
      </c>
      <c r="B43" s="6" t="s">
        <v>70</v>
      </c>
      <c r="C43" s="6" t="s">
        <v>36</v>
      </c>
      <c r="D43" s="6" t="s">
        <v>70</v>
      </c>
      <c r="E43" s="7">
        <f t="shared" si="6"/>
        <v>0.76420053083788375</v>
      </c>
      <c r="F43" s="15">
        <v>387.40000000000003</v>
      </c>
      <c r="G43" s="16">
        <v>533</v>
      </c>
      <c r="H43" s="10">
        <f t="shared" si="0"/>
        <v>0.72682926829268302</v>
      </c>
      <c r="I43" s="15">
        <v>548.6</v>
      </c>
      <c r="J43" s="16">
        <v>717.6</v>
      </c>
      <c r="K43" s="10">
        <f t="shared" si="1"/>
        <v>0.76449275362318836</v>
      </c>
      <c r="L43" s="15">
        <v>379.6</v>
      </c>
      <c r="M43" s="16">
        <v>642.20000000000005</v>
      </c>
      <c r="N43" s="10">
        <f t="shared" si="2"/>
        <v>0.59109311740890691</v>
      </c>
      <c r="O43" s="15">
        <v>535.6</v>
      </c>
      <c r="P43" s="16">
        <v>652.6</v>
      </c>
      <c r="Q43" s="10">
        <f t="shared" si="3"/>
        <v>0.82071713147410363</v>
      </c>
      <c r="R43" s="15">
        <v>387.40000000000003</v>
      </c>
      <c r="S43" s="16">
        <v>538.20000000000005</v>
      </c>
      <c r="T43" s="10">
        <f t="shared" si="4"/>
        <v>0.71980676328502413</v>
      </c>
      <c r="U43" s="15">
        <v>530.4</v>
      </c>
      <c r="V43" s="16">
        <v>551.20000000000005</v>
      </c>
      <c r="W43" s="10">
        <f t="shared" si="5"/>
        <v>0.96226415094339612</v>
      </c>
    </row>
    <row r="44" spans="1:23" x14ac:dyDescent="0.35">
      <c r="A44" s="6" t="s">
        <v>72</v>
      </c>
      <c r="B44" s="6" t="s">
        <v>70</v>
      </c>
      <c r="C44" s="6" t="s">
        <v>36</v>
      </c>
      <c r="D44" s="6" t="s">
        <v>70</v>
      </c>
      <c r="E44" s="7">
        <f t="shared" si="6"/>
        <v>0.68824245240725801</v>
      </c>
      <c r="F44" s="15">
        <v>873.6</v>
      </c>
      <c r="G44" s="16">
        <v>1138.8</v>
      </c>
      <c r="H44" s="10">
        <f t="shared" si="0"/>
        <v>0.76712328767123295</v>
      </c>
      <c r="I44" s="15">
        <v>546</v>
      </c>
      <c r="J44" s="17">
        <v>741</v>
      </c>
      <c r="K44" s="10">
        <f t="shared" si="1"/>
        <v>0.73684210526315785</v>
      </c>
      <c r="L44" s="15">
        <v>358.8</v>
      </c>
      <c r="M44" s="17">
        <v>530.4</v>
      </c>
      <c r="N44" s="10">
        <f t="shared" si="2"/>
        <v>0.67647058823529416</v>
      </c>
      <c r="O44" s="15">
        <v>312</v>
      </c>
      <c r="P44" s="17">
        <v>460.2</v>
      </c>
      <c r="Q44" s="10">
        <f t="shared" si="3"/>
        <v>0.67796610169491522</v>
      </c>
      <c r="R44" s="15">
        <v>335.40000000000003</v>
      </c>
      <c r="S44" s="17">
        <v>444.6</v>
      </c>
      <c r="T44" s="10">
        <f t="shared" si="4"/>
        <v>0.75438596491228072</v>
      </c>
      <c r="U44" s="15">
        <v>241.8</v>
      </c>
      <c r="V44" s="17">
        <v>468</v>
      </c>
      <c r="W44" s="10">
        <f t="shared" si="5"/>
        <v>0.51666666666666672</v>
      </c>
    </row>
    <row r="45" spans="1:23" x14ac:dyDescent="0.35">
      <c r="A45" s="6" t="s">
        <v>73</v>
      </c>
      <c r="B45" s="6" t="s">
        <v>70</v>
      </c>
      <c r="C45" s="6" t="s">
        <v>36</v>
      </c>
      <c r="D45" s="6" t="s">
        <v>70</v>
      </c>
      <c r="E45" s="7">
        <f t="shared" si="6"/>
        <v>0.62533146838541021</v>
      </c>
      <c r="F45" s="15">
        <v>179.4</v>
      </c>
      <c r="G45" s="16">
        <v>390</v>
      </c>
      <c r="H45" s="10">
        <f t="shared" si="0"/>
        <v>0.46</v>
      </c>
      <c r="I45" s="15">
        <v>374.40000000000003</v>
      </c>
      <c r="J45" s="17">
        <v>616.20000000000005</v>
      </c>
      <c r="K45" s="10">
        <f t="shared" si="1"/>
        <v>0.60759493670886078</v>
      </c>
      <c r="L45" s="15">
        <v>280.8</v>
      </c>
      <c r="M45" s="17">
        <v>374.40000000000003</v>
      </c>
      <c r="N45" s="10">
        <f t="shared" si="2"/>
        <v>0.75</v>
      </c>
      <c r="O45" s="15">
        <v>241.8</v>
      </c>
      <c r="P45" s="17">
        <v>382.2</v>
      </c>
      <c r="Q45" s="10">
        <f t="shared" si="3"/>
        <v>0.63265306122448983</v>
      </c>
      <c r="R45" s="15">
        <v>421.2</v>
      </c>
      <c r="S45" s="17">
        <v>733.2</v>
      </c>
      <c r="T45" s="10">
        <f t="shared" si="4"/>
        <v>0.57446808510638292</v>
      </c>
      <c r="U45" s="15">
        <v>249.60000000000002</v>
      </c>
      <c r="V45" s="17">
        <v>343.2</v>
      </c>
      <c r="W45" s="10">
        <f t="shared" si="5"/>
        <v>0.7272727272727274</v>
      </c>
    </row>
    <row r="46" spans="1:23" x14ac:dyDescent="0.35">
      <c r="A46" s="6" t="s">
        <v>74</v>
      </c>
      <c r="B46" s="6" t="s">
        <v>70</v>
      </c>
      <c r="C46" s="6" t="s">
        <v>36</v>
      </c>
      <c r="D46" s="6" t="s">
        <v>70</v>
      </c>
      <c r="E46" s="7">
        <f t="shared" si="6"/>
        <v>0.62071608070949558</v>
      </c>
      <c r="F46" s="15">
        <v>496.6</v>
      </c>
      <c r="G46" s="16">
        <v>925.6</v>
      </c>
      <c r="H46" s="10">
        <f t="shared" si="0"/>
        <v>0.5365168539325843</v>
      </c>
      <c r="I46" s="15">
        <v>514.80000000000007</v>
      </c>
      <c r="J46" s="16">
        <v>860.6</v>
      </c>
      <c r="K46" s="10">
        <f t="shared" si="1"/>
        <v>0.59818731117824775</v>
      </c>
      <c r="L46" s="15">
        <v>520</v>
      </c>
      <c r="M46" s="16">
        <v>772.2</v>
      </c>
      <c r="N46" s="10">
        <f t="shared" si="2"/>
        <v>0.67340067340067333</v>
      </c>
      <c r="O46" s="15">
        <v>483.6</v>
      </c>
      <c r="P46" s="16">
        <v>793</v>
      </c>
      <c r="Q46" s="10">
        <f t="shared" si="3"/>
        <v>0.60983606557377057</v>
      </c>
      <c r="R46" s="15">
        <v>634.4</v>
      </c>
      <c r="S46" s="16">
        <v>956.80000000000007</v>
      </c>
      <c r="T46" s="10">
        <f t="shared" si="4"/>
        <v>0.66304347826086951</v>
      </c>
      <c r="U46" s="15">
        <v>525.20000000000005</v>
      </c>
      <c r="V46" s="16">
        <v>816.4</v>
      </c>
      <c r="W46" s="10">
        <f t="shared" si="5"/>
        <v>0.6433121019108281</v>
      </c>
    </row>
    <row r="47" spans="1:23" x14ac:dyDescent="0.35">
      <c r="A47" s="6" t="s">
        <v>75</v>
      </c>
      <c r="B47" s="6" t="s">
        <v>70</v>
      </c>
      <c r="C47" s="6" t="s">
        <v>36</v>
      </c>
      <c r="D47" s="6" t="s">
        <v>70</v>
      </c>
      <c r="E47" s="7">
        <f t="shared" si="6"/>
        <v>0.57676071744938451</v>
      </c>
      <c r="F47" s="15">
        <v>340.6</v>
      </c>
      <c r="G47" s="16">
        <v>605.80000000000007</v>
      </c>
      <c r="H47" s="10">
        <f t="shared" si="0"/>
        <v>0.56223175965665229</v>
      </c>
      <c r="I47" s="15">
        <v>431.6</v>
      </c>
      <c r="J47" s="16">
        <v>730.6</v>
      </c>
      <c r="K47" s="10">
        <f t="shared" si="1"/>
        <v>0.59074733096085408</v>
      </c>
      <c r="L47" s="15">
        <v>361.40000000000003</v>
      </c>
      <c r="M47" s="16">
        <v>660.4</v>
      </c>
      <c r="N47" s="10">
        <f t="shared" si="2"/>
        <v>0.547244094488189</v>
      </c>
      <c r="O47" s="15">
        <v>332.8</v>
      </c>
      <c r="P47" s="16">
        <v>569.4</v>
      </c>
      <c r="Q47" s="10">
        <f t="shared" si="3"/>
        <v>0.58447488584474894</v>
      </c>
      <c r="R47" s="15">
        <v>400.40000000000003</v>
      </c>
      <c r="S47" s="16">
        <v>699.4</v>
      </c>
      <c r="T47" s="10">
        <f t="shared" si="4"/>
        <v>0.57249070631970267</v>
      </c>
      <c r="U47" s="15">
        <v>371.8</v>
      </c>
      <c r="V47" s="16">
        <v>616.20000000000005</v>
      </c>
      <c r="W47" s="10">
        <f t="shared" si="5"/>
        <v>0.6033755274261603</v>
      </c>
    </row>
    <row r="48" spans="1:23" x14ac:dyDescent="0.35">
      <c r="A48" s="6" t="s">
        <v>76</v>
      </c>
      <c r="B48" s="6" t="s">
        <v>70</v>
      </c>
      <c r="C48" s="6" t="s">
        <v>36</v>
      </c>
      <c r="D48" s="6" t="s">
        <v>70</v>
      </c>
      <c r="E48" s="7">
        <f t="shared" si="6"/>
        <v>0.59732176560024797</v>
      </c>
      <c r="F48" s="15">
        <v>512.20000000000005</v>
      </c>
      <c r="G48" s="16">
        <v>837.2</v>
      </c>
      <c r="H48" s="10">
        <f t="shared" si="0"/>
        <v>0.61180124223602483</v>
      </c>
      <c r="I48" s="15">
        <v>486.2</v>
      </c>
      <c r="J48" s="16">
        <v>813.80000000000007</v>
      </c>
      <c r="K48" s="10">
        <f t="shared" si="1"/>
        <v>0.597444089456869</v>
      </c>
      <c r="L48" s="15">
        <v>431.6</v>
      </c>
      <c r="M48" s="16">
        <v>751.4</v>
      </c>
      <c r="N48" s="10">
        <f t="shared" si="2"/>
        <v>0.5743944636678201</v>
      </c>
      <c r="O48" s="15">
        <v>525.20000000000005</v>
      </c>
      <c r="P48" s="16">
        <v>904.80000000000007</v>
      </c>
      <c r="Q48" s="10">
        <f t="shared" si="3"/>
        <v>0.58045977011494254</v>
      </c>
      <c r="R48" s="15">
        <v>507</v>
      </c>
      <c r="S48" s="16">
        <v>876.2</v>
      </c>
      <c r="T48" s="10">
        <f t="shared" si="4"/>
        <v>0.57863501483679525</v>
      </c>
      <c r="U48" s="15">
        <v>501.8</v>
      </c>
      <c r="V48" s="16">
        <v>782.6</v>
      </c>
      <c r="W48" s="10">
        <f t="shared" si="5"/>
        <v>0.64119601328903653</v>
      </c>
    </row>
    <row r="49" spans="1:23" x14ac:dyDescent="0.35">
      <c r="A49" s="6" t="s">
        <v>77</v>
      </c>
      <c r="B49" s="6" t="s">
        <v>70</v>
      </c>
      <c r="C49" s="6" t="s">
        <v>36</v>
      </c>
      <c r="D49" s="6" t="s">
        <v>70</v>
      </c>
      <c r="E49" s="7">
        <f t="shared" si="6"/>
        <v>0.69558392451171847</v>
      </c>
      <c r="F49" s="15">
        <v>670.80000000000007</v>
      </c>
      <c r="G49" s="16">
        <v>988</v>
      </c>
      <c r="H49" s="10">
        <f t="shared" si="0"/>
        <v>0.67894736842105274</v>
      </c>
      <c r="I49" s="15">
        <v>746.2</v>
      </c>
      <c r="J49" s="16">
        <v>1019.2</v>
      </c>
      <c r="K49" s="10">
        <f t="shared" si="1"/>
        <v>0.73214285714285721</v>
      </c>
      <c r="L49" s="15">
        <v>582.4</v>
      </c>
      <c r="M49" s="16">
        <v>886.6</v>
      </c>
      <c r="N49" s="10">
        <f t="shared" si="2"/>
        <v>0.65689149560117299</v>
      </c>
      <c r="O49" s="15">
        <v>683.80000000000007</v>
      </c>
      <c r="P49" s="16">
        <v>1001</v>
      </c>
      <c r="Q49" s="10">
        <f t="shared" si="3"/>
        <v>0.68311688311688323</v>
      </c>
      <c r="R49" s="15">
        <v>579.80000000000007</v>
      </c>
      <c r="S49" s="16">
        <v>824.2</v>
      </c>
      <c r="T49" s="10">
        <f t="shared" si="4"/>
        <v>0.70347003154574139</v>
      </c>
      <c r="U49" s="15">
        <v>631.80000000000007</v>
      </c>
      <c r="V49" s="16">
        <v>878.80000000000007</v>
      </c>
      <c r="W49" s="10">
        <f t="shared" si="5"/>
        <v>0.71893491124260356</v>
      </c>
    </row>
    <row r="50" spans="1:23" x14ac:dyDescent="0.35">
      <c r="A50" s="6" t="s">
        <v>78</v>
      </c>
      <c r="B50" s="6" t="s">
        <v>70</v>
      </c>
      <c r="C50" s="6" t="s">
        <v>36</v>
      </c>
      <c r="D50" s="6" t="s">
        <v>70</v>
      </c>
      <c r="E50" s="7">
        <f t="shared" si="6"/>
        <v>0.60293819168374596</v>
      </c>
      <c r="F50" s="15">
        <v>395.2</v>
      </c>
      <c r="G50" s="16">
        <v>647.4</v>
      </c>
      <c r="H50" s="10">
        <f t="shared" si="0"/>
        <v>0.61044176706827313</v>
      </c>
      <c r="I50" s="15">
        <v>426.40000000000003</v>
      </c>
      <c r="J50" s="16">
        <v>730.6</v>
      </c>
      <c r="K50" s="10">
        <f t="shared" si="1"/>
        <v>0.58362989323843417</v>
      </c>
      <c r="L50" s="15">
        <v>442</v>
      </c>
      <c r="M50" s="16">
        <v>683.80000000000007</v>
      </c>
      <c r="N50" s="10">
        <f t="shared" si="2"/>
        <v>0.64638783269961975</v>
      </c>
      <c r="O50" s="15">
        <v>395.2</v>
      </c>
      <c r="P50" s="16">
        <v>707.2</v>
      </c>
      <c r="Q50" s="10">
        <f t="shared" si="3"/>
        <v>0.55882352941176461</v>
      </c>
      <c r="R50" s="15">
        <v>358.8</v>
      </c>
      <c r="S50" s="16">
        <v>639.6</v>
      </c>
      <c r="T50" s="10">
        <f t="shared" si="4"/>
        <v>0.5609756097560975</v>
      </c>
      <c r="U50" s="15">
        <v>429</v>
      </c>
      <c r="V50" s="16">
        <v>652.6</v>
      </c>
      <c r="W50" s="10">
        <f t="shared" si="5"/>
        <v>0.65737051792828682</v>
      </c>
    </row>
    <row r="51" spans="1:23" x14ac:dyDescent="0.35">
      <c r="A51" s="6" t="s">
        <v>79</v>
      </c>
      <c r="B51" s="6" t="s">
        <v>70</v>
      </c>
      <c r="C51" s="6" t="s">
        <v>36</v>
      </c>
      <c r="D51" s="6" t="s">
        <v>70</v>
      </c>
      <c r="E51" s="7">
        <f t="shared" si="6"/>
        <v>0.73638326858060388</v>
      </c>
      <c r="F51" s="15">
        <v>608.4</v>
      </c>
      <c r="G51" s="16">
        <v>829.4</v>
      </c>
      <c r="H51" s="10">
        <f t="shared" si="0"/>
        <v>0.73354231974921624</v>
      </c>
      <c r="I51" s="15">
        <v>522.6</v>
      </c>
      <c r="J51" s="16">
        <v>694.2</v>
      </c>
      <c r="K51" s="10">
        <f t="shared" si="1"/>
        <v>0.7528089887640449</v>
      </c>
      <c r="L51" s="15">
        <v>538.20000000000005</v>
      </c>
      <c r="M51" s="16">
        <v>738.4</v>
      </c>
      <c r="N51" s="10">
        <f t="shared" si="2"/>
        <v>0.72887323943661986</v>
      </c>
      <c r="O51" s="15">
        <v>592.80000000000007</v>
      </c>
      <c r="P51" s="16">
        <v>808.6</v>
      </c>
      <c r="Q51" s="10">
        <f t="shared" si="3"/>
        <v>0.73311897106109336</v>
      </c>
      <c r="R51" s="15">
        <v>587.6</v>
      </c>
      <c r="S51" s="16">
        <v>785.2</v>
      </c>
      <c r="T51" s="10">
        <f t="shared" si="4"/>
        <v>0.74834437086092709</v>
      </c>
      <c r="U51" s="15">
        <v>512.20000000000005</v>
      </c>
      <c r="V51" s="16">
        <v>709.80000000000007</v>
      </c>
      <c r="W51" s="10">
        <f t="shared" si="5"/>
        <v>0.7216117216117216</v>
      </c>
    </row>
    <row r="52" spans="1:23" x14ac:dyDescent="0.35">
      <c r="A52" s="6" t="s">
        <v>80</v>
      </c>
      <c r="B52" s="6" t="s">
        <v>81</v>
      </c>
      <c r="C52" s="6" t="s">
        <v>36</v>
      </c>
      <c r="D52" s="6" t="s">
        <v>81</v>
      </c>
      <c r="E52" s="7">
        <f t="shared" si="6"/>
        <v>0.56537100411955665</v>
      </c>
      <c r="F52" s="15">
        <v>439</v>
      </c>
      <c r="G52" s="17">
        <v>800.80000000000007</v>
      </c>
      <c r="H52" s="10">
        <f t="shared" si="0"/>
        <v>0.54820179820179815</v>
      </c>
      <c r="I52" s="15">
        <v>643.6</v>
      </c>
      <c r="J52" s="17">
        <v>980.2</v>
      </c>
      <c r="K52" s="10">
        <f t="shared" si="1"/>
        <v>0.6566006937359723</v>
      </c>
      <c r="L52" s="15">
        <v>375.2</v>
      </c>
      <c r="M52" s="17">
        <v>707.2</v>
      </c>
      <c r="N52" s="10">
        <f t="shared" si="2"/>
        <v>0.53054298642533937</v>
      </c>
      <c r="O52" s="15">
        <v>413.8</v>
      </c>
      <c r="P52" s="17">
        <v>655.20000000000005</v>
      </c>
      <c r="Q52" s="10">
        <f t="shared" si="3"/>
        <v>0.63156288156288154</v>
      </c>
      <c r="R52" s="15">
        <v>301.39999999999998</v>
      </c>
      <c r="S52" s="17">
        <v>592.80000000000007</v>
      </c>
      <c r="T52" s="10">
        <f t="shared" si="4"/>
        <v>0.50843454790823206</v>
      </c>
      <c r="U52" s="15">
        <v>517.4</v>
      </c>
      <c r="V52" s="17">
        <v>1001</v>
      </c>
      <c r="W52" s="10">
        <f t="shared" si="5"/>
        <v>0.51688311688311683</v>
      </c>
    </row>
    <row r="53" spans="1:23" x14ac:dyDescent="0.35">
      <c r="A53" s="6" t="s">
        <v>82</v>
      </c>
      <c r="B53" s="6" t="s">
        <v>81</v>
      </c>
      <c r="C53" s="6" t="s">
        <v>36</v>
      </c>
      <c r="D53" s="6" t="s">
        <v>81</v>
      </c>
      <c r="E53" s="7">
        <f t="shared" si="6"/>
        <v>0.69758313508982217</v>
      </c>
      <c r="F53" s="15">
        <v>497</v>
      </c>
      <c r="G53" s="17">
        <v>602</v>
      </c>
      <c r="H53" s="10">
        <f t="shared" si="0"/>
        <v>0.82558139534883723</v>
      </c>
      <c r="I53" s="15">
        <v>249</v>
      </c>
      <c r="J53" s="17">
        <v>411</v>
      </c>
      <c r="K53" s="10">
        <f t="shared" si="1"/>
        <v>0.6058394160583942</v>
      </c>
      <c r="L53" s="15">
        <v>176</v>
      </c>
      <c r="M53" s="17">
        <v>308</v>
      </c>
      <c r="N53" s="10">
        <f t="shared" si="2"/>
        <v>0.5714285714285714</v>
      </c>
      <c r="O53" s="15">
        <v>334</v>
      </c>
      <c r="P53" s="17">
        <v>549</v>
      </c>
      <c r="Q53" s="10">
        <f t="shared" si="3"/>
        <v>0.60837887067395269</v>
      </c>
      <c r="R53" s="15">
        <v>253.29999999999998</v>
      </c>
      <c r="S53" s="17">
        <v>295.8</v>
      </c>
      <c r="T53" s="10">
        <f t="shared" si="4"/>
        <v>0.85632183908045967</v>
      </c>
      <c r="U53" s="15">
        <v>392</v>
      </c>
      <c r="V53" s="17">
        <v>546</v>
      </c>
      <c r="W53" s="10">
        <f t="shared" si="5"/>
        <v>0.71794871794871795</v>
      </c>
    </row>
    <row r="54" spans="1:23" x14ac:dyDescent="0.35">
      <c r="A54" s="6" t="s">
        <v>83</v>
      </c>
      <c r="B54" s="6" t="s">
        <v>81</v>
      </c>
      <c r="C54" s="6" t="s">
        <v>36</v>
      </c>
      <c r="D54" s="6" t="s">
        <v>81</v>
      </c>
      <c r="E54" s="7">
        <f t="shared" si="6"/>
        <v>0.81439807714367329</v>
      </c>
      <c r="F54" s="15">
        <v>518</v>
      </c>
      <c r="G54" s="17">
        <v>637</v>
      </c>
      <c r="H54" s="10">
        <f t="shared" si="0"/>
        <v>0.81318681318681318</v>
      </c>
      <c r="I54" s="15">
        <v>291</v>
      </c>
      <c r="J54" s="17">
        <v>324</v>
      </c>
      <c r="K54" s="10">
        <f t="shared" si="1"/>
        <v>0.89814814814814814</v>
      </c>
      <c r="L54" s="15">
        <v>272</v>
      </c>
      <c r="M54" s="17">
        <v>324</v>
      </c>
      <c r="N54" s="10">
        <f t="shared" si="2"/>
        <v>0.83950617283950613</v>
      </c>
      <c r="O54" s="15">
        <v>192</v>
      </c>
      <c r="P54" s="17">
        <v>246</v>
      </c>
      <c r="Q54" s="10">
        <f t="shared" si="3"/>
        <v>0.78048780487804881</v>
      </c>
      <c r="R54" s="15">
        <v>201</v>
      </c>
      <c r="S54" s="17">
        <v>288</v>
      </c>
      <c r="T54" s="10">
        <f t="shared" si="4"/>
        <v>0.69791666666666663</v>
      </c>
      <c r="U54" s="15">
        <v>630</v>
      </c>
      <c r="V54" s="17">
        <v>735</v>
      </c>
      <c r="W54" s="10">
        <f t="shared" si="5"/>
        <v>0.8571428571428571</v>
      </c>
    </row>
    <row r="55" spans="1:23" x14ac:dyDescent="0.35">
      <c r="A55" s="6" t="s">
        <v>84</v>
      </c>
      <c r="B55" s="6" t="s">
        <v>81</v>
      </c>
      <c r="C55" s="6" t="s">
        <v>36</v>
      </c>
      <c r="D55" s="6" t="s">
        <v>81</v>
      </c>
      <c r="E55" s="7">
        <f t="shared" si="6"/>
        <v>0.78010629407981102</v>
      </c>
      <c r="F55" s="15">
        <v>574</v>
      </c>
      <c r="G55" s="17">
        <v>686</v>
      </c>
      <c r="H55" s="10">
        <f t="shared" si="0"/>
        <v>0.83673469387755106</v>
      </c>
      <c r="I55" s="15">
        <v>258</v>
      </c>
      <c r="J55" s="17">
        <v>303</v>
      </c>
      <c r="K55" s="10">
        <f t="shared" si="1"/>
        <v>0.85148514851485146</v>
      </c>
      <c r="L55" s="15">
        <v>356</v>
      </c>
      <c r="M55" s="17">
        <v>496</v>
      </c>
      <c r="N55" s="10">
        <f t="shared" si="2"/>
        <v>0.717741935483871</v>
      </c>
      <c r="O55" s="15">
        <v>231</v>
      </c>
      <c r="P55" s="17">
        <v>327</v>
      </c>
      <c r="Q55" s="10">
        <f t="shared" si="3"/>
        <v>0.70642201834862384</v>
      </c>
      <c r="R55" s="15">
        <v>228</v>
      </c>
      <c r="S55" s="17">
        <v>315</v>
      </c>
      <c r="T55" s="10">
        <f t="shared" si="4"/>
        <v>0.72380952380952379</v>
      </c>
      <c r="U55" s="15">
        <v>532</v>
      </c>
      <c r="V55" s="17">
        <v>630</v>
      </c>
      <c r="W55" s="10">
        <f t="shared" si="5"/>
        <v>0.84444444444444444</v>
      </c>
    </row>
    <row r="56" spans="1:23" x14ac:dyDescent="0.35">
      <c r="A56" s="6" t="s">
        <v>85</v>
      </c>
      <c r="B56" s="6" t="s">
        <v>81</v>
      </c>
      <c r="C56" s="6" t="s">
        <v>36</v>
      </c>
      <c r="D56" s="6" t="s">
        <v>81</v>
      </c>
      <c r="E56" s="7">
        <f t="shared" si="6"/>
        <v>0.62434395416792066</v>
      </c>
      <c r="F56" s="15">
        <v>435</v>
      </c>
      <c r="G56" s="17">
        <v>688</v>
      </c>
      <c r="H56" s="10">
        <f t="shared" si="0"/>
        <v>0.63226744186046513</v>
      </c>
      <c r="I56" s="15">
        <v>391</v>
      </c>
      <c r="J56" s="17">
        <v>640</v>
      </c>
      <c r="K56" s="10">
        <f t="shared" si="1"/>
        <v>0.61093750000000002</v>
      </c>
      <c r="L56" s="15">
        <v>393</v>
      </c>
      <c r="M56" s="17">
        <v>576</v>
      </c>
      <c r="N56" s="10">
        <f t="shared" si="2"/>
        <v>0.68229166666666663</v>
      </c>
      <c r="O56" s="15">
        <v>401</v>
      </c>
      <c r="P56" s="17">
        <v>667</v>
      </c>
      <c r="Q56" s="10">
        <f t="shared" si="3"/>
        <v>0.60119940029985008</v>
      </c>
      <c r="R56" s="15">
        <v>342</v>
      </c>
      <c r="S56" s="17">
        <v>589</v>
      </c>
      <c r="T56" s="10">
        <f t="shared" si="4"/>
        <v>0.58064516129032262</v>
      </c>
      <c r="U56" s="15">
        <v>320</v>
      </c>
      <c r="V56" s="17">
        <v>501</v>
      </c>
      <c r="W56" s="10">
        <f t="shared" si="5"/>
        <v>0.63872255489021956</v>
      </c>
    </row>
    <row r="57" spans="1:23" x14ac:dyDescent="0.35">
      <c r="A57" s="6" t="s">
        <v>86</v>
      </c>
      <c r="B57" s="6" t="s">
        <v>81</v>
      </c>
      <c r="C57" s="6" t="s">
        <v>36</v>
      </c>
      <c r="D57" s="6" t="s">
        <v>81</v>
      </c>
      <c r="E57" s="7">
        <f t="shared" si="6"/>
        <v>0.59324875011922296</v>
      </c>
      <c r="F57" s="15">
        <v>352</v>
      </c>
      <c r="G57" s="17">
        <v>623</v>
      </c>
      <c r="H57" s="10">
        <f t="shared" si="0"/>
        <v>0.565008025682183</v>
      </c>
      <c r="I57" s="15">
        <v>358</v>
      </c>
      <c r="J57" s="17">
        <v>591</v>
      </c>
      <c r="K57" s="10">
        <f t="shared" si="1"/>
        <v>0.60575296108291032</v>
      </c>
      <c r="L57" s="15">
        <v>319</v>
      </c>
      <c r="M57" s="17">
        <v>456</v>
      </c>
      <c r="N57" s="10">
        <f t="shared" si="2"/>
        <v>0.69956140350877194</v>
      </c>
      <c r="O57" s="15">
        <v>448</v>
      </c>
      <c r="P57" s="17">
        <v>671</v>
      </c>
      <c r="Q57" s="10">
        <f t="shared" si="3"/>
        <v>0.66766020864381526</v>
      </c>
      <c r="R57" s="15">
        <v>304</v>
      </c>
      <c r="S57" s="17">
        <v>601</v>
      </c>
      <c r="T57" s="10">
        <f t="shared" si="4"/>
        <v>0.50582362728785357</v>
      </c>
      <c r="U57" s="15">
        <v>263</v>
      </c>
      <c r="V57" s="17">
        <v>510</v>
      </c>
      <c r="W57" s="10">
        <f t="shared" si="5"/>
        <v>0.51568627450980398</v>
      </c>
    </row>
    <row r="58" spans="1:23" x14ac:dyDescent="0.35">
      <c r="A58" s="6" t="s">
        <v>87</v>
      </c>
      <c r="B58" s="6" t="s">
        <v>81</v>
      </c>
      <c r="C58" s="6" t="s">
        <v>36</v>
      </c>
      <c r="D58" s="6" t="s">
        <v>81</v>
      </c>
      <c r="E58" s="7">
        <f t="shared" si="6"/>
        <v>0.58827347757783921</v>
      </c>
      <c r="F58" s="15">
        <v>547</v>
      </c>
      <c r="G58" s="17">
        <v>896</v>
      </c>
      <c r="H58" s="10">
        <f t="shared" si="0"/>
        <v>0.6104910714285714</v>
      </c>
      <c r="I58" s="15">
        <v>421</v>
      </c>
      <c r="J58" s="17">
        <v>684</v>
      </c>
      <c r="K58" s="10">
        <f t="shared" si="1"/>
        <v>0.61549707602339176</v>
      </c>
      <c r="L58" s="15">
        <v>423</v>
      </c>
      <c r="M58" s="17">
        <v>722</v>
      </c>
      <c r="N58" s="10">
        <f t="shared" si="2"/>
        <v>0.58587257617728528</v>
      </c>
      <c r="O58" s="15">
        <v>377</v>
      </c>
      <c r="P58" s="17">
        <v>701</v>
      </c>
      <c r="Q58" s="10">
        <f t="shared" si="3"/>
        <v>0.53780313837375182</v>
      </c>
      <c r="R58" s="15">
        <v>365</v>
      </c>
      <c r="S58" s="17">
        <v>694</v>
      </c>
      <c r="T58" s="10">
        <f t="shared" si="4"/>
        <v>0.52593659942363113</v>
      </c>
      <c r="U58" s="15">
        <v>518</v>
      </c>
      <c r="V58" s="17">
        <v>792</v>
      </c>
      <c r="W58" s="10">
        <f t="shared" si="5"/>
        <v>0.65404040404040409</v>
      </c>
    </row>
    <row r="59" spans="1:23" x14ac:dyDescent="0.35">
      <c r="A59" s="6" t="s">
        <v>88</v>
      </c>
      <c r="B59" s="6" t="s">
        <v>81</v>
      </c>
      <c r="C59" s="6" t="s">
        <v>36</v>
      </c>
      <c r="D59" s="6" t="s">
        <v>81</v>
      </c>
      <c r="E59" s="7">
        <f t="shared" si="6"/>
        <v>0.51277179911203563</v>
      </c>
      <c r="F59" s="15">
        <v>310</v>
      </c>
      <c r="G59" s="17">
        <v>594</v>
      </c>
      <c r="H59" s="10">
        <f t="shared" si="0"/>
        <v>0.52188552188552184</v>
      </c>
      <c r="I59" s="15">
        <v>318</v>
      </c>
      <c r="J59" s="17">
        <v>601</v>
      </c>
      <c r="K59" s="10">
        <f t="shared" si="1"/>
        <v>0.52911813643926786</v>
      </c>
      <c r="L59" s="15">
        <v>299</v>
      </c>
      <c r="M59" s="17">
        <v>567</v>
      </c>
      <c r="N59" s="10">
        <f t="shared" si="2"/>
        <v>0.52733686067019403</v>
      </c>
      <c r="O59" s="15">
        <v>261</v>
      </c>
      <c r="P59" s="17">
        <v>603</v>
      </c>
      <c r="Q59" s="10">
        <f t="shared" si="3"/>
        <v>0.43283582089552236</v>
      </c>
      <c r="R59" s="15">
        <v>355</v>
      </c>
      <c r="S59" s="17">
        <v>719</v>
      </c>
      <c r="T59" s="10">
        <f t="shared" si="4"/>
        <v>0.49374130737134908</v>
      </c>
      <c r="U59" s="15">
        <v>287</v>
      </c>
      <c r="V59" s="17">
        <v>502</v>
      </c>
      <c r="W59" s="10">
        <f t="shared" si="5"/>
        <v>0.57171314741035861</v>
      </c>
    </row>
    <row r="60" spans="1:23" x14ac:dyDescent="0.35">
      <c r="A60" s="6" t="s">
        <v>89</v>
      </c>
      <c r="B60" s="6" t="s">
        <v>81</v>
      </c>
      <c r="C60" s="6" t="s">
        <v>36</v>
      </c>
      <c r="D60" s="6" t="s">
        <v>81</v>
      </c>
      <c r="E60" s="7">
        <f t="shared" si="6"/>
        <v>0.60218790727131832</v>
      </c>
      <c r="F60" s="15">
        <v>366.28571428571428</v>
      </c>
      <c r="G60" s="17">
        <v>641</v>
      </c>
      <c r="H60" s="10">
        <f t="shared" si="0"/>
        <v>0.5714285714285714</v>
      </c>
      <c r="I60" s="15">
        <v>384.63157894736838</v>
      </c>
      <c r="J60" s="17">
        <v>609</v>
      </c>
      <c r="K60" s="10">
        <f t="shared" si="1"/>
        <v>0.63157894736842102</v>
      </c>
      <c r="L60" s="15">
        <v>330.18749999999994</v>
      </c>
      <c r="M60" s="17">
        <v>587</v>
      </c>
      <c r="N60" s="10">
        <f t="shared" si="2"/>
        <v>0.56249999999999989</v>
      </c>
      <c r="O60" s="15">
        <v>349.07142857142856</v>
      </c>
      <c r="P60" s="17">
        <v>543</v>
      </c>
      <c r="Q60" s="10">
        <f t="shared" si="3"/>
        <v>0.64285714285714279</v>
      </c>
      <c r="R60" s="15">
        <v>421.42180094786727</v>
      </c>
      <c r="S60" s="17">
        <v>741</v>
      </c>
      <c r="T60" s="10">
        <f t="shared" si="4"/>
        <v>0.56872037914691942</v>
      </c>
      <c r="U60" s="15">
        <v>349.18727915194347</v>
      </c>
      <c r="V60" s="17">
        <v>549</v>
      </c>
      <c r="W60" s="10">
        <f t="shared" si="5"/>
        <v>0.63604240282685509</v>
      </c>
    </row>
    <row r="61" spans="1:23" x14ac:dyDescent="0.35">
      <c r="A61" s="6" t="s">
        <v>90</v>
      </c>
      <c r="B61" s="6" t="s">
        <v>81</v>
      </c>
      <c r="C61" s="6" t="s">
        <v>36</v>
      </c>
      <c r="D61" s="6" t="s">
        <v>81</v>
      </c>
      <c r="E61" s="7">
        <f t="shared" si="6"/>
        <v>0.57861669936680238</v>
      </c>
      <c r="F61" s="15">
        <v>217.00418623281905</v>
      </c>
      <c r="G61" s="17">
        <v>394</v>
      </c>
      <c r="H61" s="10">
        <f t="shared" si="0"/>
        <v>0.55077204627619047</v>
      </c>
      <c r="I61" s="15">
        <v>217.32305425961053</v>
      </c>
      <c r="J61" s="17">
        <v>357</v>
      </c>
      <c r="K61" s="10">
        <f t="shared" si="1"/>
        <v>0.60874805114736841</v>
      </c>
      <c r="L61" s="15">
        <v>230.96281528063122</v>
      </c>
      <c r="M61" s="17">
        <v>426</v>
      </c>
      <c r="N61" s="10">
        <f t="shared" si="2"/>
        <v>0.54216623305312495</v>
      </c>
      <c r="O61" s="15">
        <v>249</v>
      </c>
      <c r="P61" s="17">
        <v>409</v>
      </c>
      <c r="Q61" s="10">
        <f t="shared" si="3"/>
        <v>0.60880195599022002</v>
      </c>
      <c r="R61" s="15">
        <v>177.60440771863509</v>
      </c>
      <c r="S61" s="17">
        <v>324</v>
      </c>
      <c r="T61" s="10">
        <f t="shared" si="4"/>
        <v>0.54816175221800956</v>
      </c>
      <c r="U61" s="15">
        <v>237.25041095865373</v>
      </c>
      <c r="V61" s="17">
        <v>387</v>
      </c>
      <c r="W61" s="10">
        <f t="shared" si="5"/>
        <v>0.61305015751590108</v>
      </c>
    </row>
    <row r="62" spans="1:23" x14ac:dyDescent="0.35">
      <c r="A62" s="6" t="s">
        <v>91</v>
      </c>
      <c r="B62" s="6" t="s">
        <v>70</v>
      </c>
      <c r="C62" s="6" t="s">
        <v>25</v>
      </c>
      <c r="E62" s="7">
        <f t="shared" si="6"/>
        <v>0.61969617611635086</v>
      </c>
      <c r="F62" s="15">
        <v>270.43537951619049</v>
      </c>
      <c r="G62" s="17">
        <v>458</v>
      </c>
      <c r="H62" s="10">
        <f t="shared" si="0"/>
        <v>0.59047026095238098</v>
      </c>
      <c r="I62" s="15">
        <v>318</v>
      </c>
      <c r="J62" s="17">
        <v>499</v>
      </c>
      <c r="K62" s="10">
        <f t="shared" si="1"/>
        <v>0.63727454909819636</v>
      </c>
      <c r="L62" s="15">
        <v>213.89785202999997</v>
      </c>
      <c r="M62" s="17">
        <v>368</v>
      </c>
      <c r="N62" s="10">
        <f t="shared" si="2"/>
        <v>0.58124416312499994</v>
      </c>
      <c r="O62" s="15">
        <v>283.64715160499998</v>
      </c>
      <c r="P62" s="17">
        <v>427</v>
      </c>
      <c r="Q62" s="10">
        <f t="shared" si="3"/>
        <v>0.66427904357142853</v>
      </c>
      <c r="R62" s="15">
        <v>231.54269853649291</v>
      </c>
      <c r="S62" s="17">
        <v>394</v>
      </c>
      <c r="T62" s="10">
        <f t="shared" si="4"/>
        <v>0.58767182369668247</v>
      </c>
      <c r="U62" s="15">
        <v>329.93308255971726</v>
      </c>
      <c r="V62" s="17">
        <v>502</v>
      </c>
      <c r="W62" s="10">
        <f t="shared" si="5"/>
        <v>0.65723721625441689</v>
      </c>
    </row>
    <row r="63" spans="1:23" x14ac:dyDescent="0.35">
      <c r="A63" s="6" t="s">
        <v>92</v>
      </c>
      <c r="B63" s="6" t="s">
        <v>70</v>
      </c>
      <c r="C63" s="6" t="s">
        <v>25</v>
      </c>
      <c r="E63" s="7">
        <f t="shared" si="6"/>
        <v>0.67418851359481013</v>
      </c>
      <c r="F63" s="15">
        <v>329.24107146857142</v>
      </c>
      <c r="G63" s="17">
        <v>513</v>
      </c>
      <c r="H63" s="10">
        <f t="shared" si="0"/>
        <v>0.64179546095238094</v>
      </c>
      <c r="I63" s="15">
        <v>351</v>
      </c>
      <c r="J63" s="17">
        <v>504</v>
      </c>
      <c r="K63" s="10">
        <f t="shared" si="1"/>
        <v>0.6964285714285714</v>
      </c>
      <c r="L63" s="15">
        <v>291.24477456937495</v>
      </c>
      <c r="M63" s="17">
        <v>461</v>
      </c>
      <c r="N63" s="10">
        <f t="shared" si="2"/>
        <v>0.63176740687499988</v>
      </c>
      <c r="O63" s="15">
        <v>358.84388710500002</v>
      </c>
      <c r="P63" s="17">
        <v>497</v>
      </c>
      <c r="Q63" s="10">
        <f t="shared" si="3"/>
        <v>0.72201989357142859</v>
      </c>
      <c r="R63" s="15">
        <v>325.12567213838861</v>
      </c>
      <c r="S63" s="17">
        <v>509</v>
      </c>
      <c r="T63" s="10">
        <f t="shared" si="4"/>
        <v>0.63875377630331753</v>
      </c>
      <c r="U63" s="15">
        <v>341.46693482544168</v>
      </c>
      <c r="V63" s="17">
        <v>478</v>
      </c>
      <c r="W63" s="10">
        <f t="shared" si="5"/>
        <v>0.71436597243816247</v>
      </c>
    </row>
    <row r="64" spans="1:23" x14ac:dyDescent="0.35">
      <c r="A64" s="6" t="s">
        <v>93</v>
      </c>
      <c r="B64" s="6" t="s">
        <v>70</v>
      </c>
      <c r="C64" s="6" t="s">
        <v>25</v>
      </c>
      <c r="E64" s="7">
        <f t="shared" si="6"/>
        <v>0.63922724293319522</v>
      </c>
      <c r="F64" s="15">
        <v>196.53061227428572</v>
      </c>
      <c r="G64" s="17">
        <v>324</v>
      </c>
      <c r="H64" s="10">
        <f t="shared" si="0"/>
        <v>0.60657596380952383</v>
      </c>
      <c r="I64" s="15">
        <v>302.36215543368422</v>
      </c>
      <c r="J64" s="17">
        <v>451</v>
      </c>
      <c r="K64" s="10">
        <f t="shared" si="1"/>
        <v>0.67042606526315796</v>
      </c>
      <c r="L64" s="15">
        <v>231.077008963125</v>
      </c>
      <c r="M64" s="17">
        <v>387</v>
      </c>
      <c r="N64" s="10">
        <f t="shared" si="2"/>
        <v>0.59709821437499999</v>
      </c>
      <c r="O64" s="15">
        <v>323.45663270142859</v>
      </c>
      <c r="P64" s="17">
        <v>474</v>
      </c>
      <c r="Q64" s="10">
        <f t="shared" si="3"/>
        <v>0.68239795928571434</v>
      </c>
      <c r="R64" s="15">
        <v>399.65019189004738</v>
      </c>
      <c r="S64" s="17">
        <v>662</v>
      </c>
      <c r="T64" s="10">
        <f t="shared" si="4"/>
        <v>0.6037011962085308</v>
      </c>
      <c r="U64" s="15">
        <v>295.7218576918728</v>
      </c>
      <c r="V64" s="17">
        <v>438</v>
      </c>
      <c r="W64" s="10">
        <f t="shared" si="5"/>
        <v>0.67516405865724383</v>
      </c>
    </row>
    <row r="65" spans="1:23" x14ac:dyDescent="0.35">
      <c r="A65" s="6" t="s">
        <v>94</v>
      </c>
      <c r="B65" s="6" t="s">
        <v>70</v>
      </c>
      <c r="C65" s="6" t="s">
        <v>25</v>
      </c>
      <c r="E65" s="7">
        <f t="shared" si="6"/>
        <v>0.6665259422979164</v>
      </c>
      <c r="F65" s="15">
        <v>405.41984971238105</v>
      </c>
      <c r="G65" s="17">
        <v>641</v>
      </c>
      <c r="H65" s="10">
        <f t="shared" si="0"/>
        <v>0.63248026476190489</v>
      </c>
      <c r="I65" s="15">
        <v>421.53145224631584</v>
      </c>
      <c r="J65" s="17">
        <v>603</v>
      </c>
      <c r="K65" s="10">
        <f t="shared" si="1"/>
        <v>0.69905713473684217</v>
      </c>
      <c r="L65" s="15">
        <v>344.91915938625004</v>
      </c>
      <c r="M65" s="17">
        <v>554</v>
      </c>
      <c r="N65" s="10">
        <f t="shared" si="2"/>
        <v>0.62259776062500005</v>
      </c>
      <c r="O65" s="15">
        <v>444.00114586285724</v>
      </c>
      <c r="P65" s="17">
        <v>624</v>
      </c>
      <c r="Q65" s="10">
        <f t="shared" si="3"/>
        <v>0.71154029785714301</v>
      </c>
      <c r="R65" s="15">
        <v>379.57808496113751</v>
      </c>
      <c r="S65" s="17">
        <v>603</v>
      </c>
      <c r="T65" s="10">
        <f t="shared" si="4"/>
        <v>0.62948272796208538</v>
      </c>
      <c r="U65" s="15">
        <v>435.07043512791523</v>
      </c>
      <c r="V65" s="17">
        <v>618</v>
      </c>
      <c r="W65" s="10">
        <f t="shared" si="5"/>
        <v>0.70399746784452299</v>
      </c>
    </row>
    <row r="66" spans="1:23" x14ac:dyDescent="0.35">
      <c r="A66" s="6" t="s">
        <v>94</v>
      </c>
      <c r="B66" s="6" t="s">
        <v>70</v>
      </c>
      <c r="C66" s="6" t="s">
        <v>25</v>
      </c>
      <c r="E66" s="7">
        <f t="shared" si="6"/>
        <v>0.6157667919357096</v>
      </c>
      <c r="F66" s="15">
        <v>320.78830704857148</v>
      </c>
      <c r="G66" s="17">
        <v>549</v>
      </c>
      <c r="H66" s="10">
        <f t="shared" si="0"/>
        <v>0.58431385619047627</v>
      </c>
      <c r="I66" s="15">
        <v>257.68241058000001</v>
      </c>
      <c r="J66" s="17">
        <v>399</v>
      </c>
      <c r="K66" s="10">
        <f t="shared" si="1"/>
        <v>0.6458205778947369</v>
      </c>
      <c r="L66" s="15">
        <v>245.60354758406248</v>
      </c>
      <c r="M66" s="17">
        <v>427</v>
      </c>
      <c r="N66" s="10">
        <f t="shared" si="2"/>
        <v>0.57518395218749996</v>
      </c>
      <c r="O66" s="15">
        <v>304.35447984321434</v>
      </c>
      <c r="P66" s="17">
        <v>463</v>
      </c>
      <c r="Q66" s="10">
        <f t="shared" si="3"/>
        <v>0.65735308821428584</v>
      </c>
      <c r="R66" s="15">
        <v>241.92255202274882</v>
      </c>
      <c r="S66" s="17">
        <v>416</v>
      </c>
      <c r="T66" s="10">
        <f t="shared" si="4"/>
        <v>0.58154459620853083</v>
      </c>
      <c r="U66" s="15">
        <v>276.41348939045935</v>
      </c>
      <c r="V66" s="17">
        <v>425</v>
      </c>
      <c r="W66" s="10">
        <f t="shared" si="5"/>
        <v>0.65038468091872792</v>
      </c>
    </row>
    <row r="67" spans="1:23" x14ac:dyDescent="0.35">
      <c r="A67" s="6" t="s">
        <v>95</v>
      </c>
      <c r="B67" s="6" t="s">
        <v>70</v>
      </c>
      <c r="C67" s="6" t="s">
        <v>25</v>
      </c>
      <c r="E67" s="7">
        <f t="shared" si="6"/>
        <v>0.65484227846998699</v>
      </c>
      <c r="F67" s="15">
        <v>273.41309348571428</v>
      </c>
      <c r="G67" s="17">
        <v>440</v>
      </c>
      <c r="H67" s="10">
        <f t="shared" ref="H67:H81" si="7">F67/G67</f>
        <v>0.62139339428571427</v>
      </c>
      <c r="I67" s="15">
        <v>344.08841585684206</v>
      </c>
      <c r="J67" s="17">
        <v>501</v>
      </c>
      <c r="K67" s="10">
        <f t="shared" ref="K67:K81" si="8">I67/J67</f>
        <v>0.68680322526315785</v>
      </c>
      <c r="L67" s="15">
        <v>318.68742782249996</v>
      </c>
      <c r="M67" s="17">
        <v>521</v>
      </c>
      <c r="N67" s="10">
        <f t="shared" ref="N67:N81" si="9">L67/M67</f>
        <v>0.61168412249999993</v>
      </c>
      <c r="O67" s="15">
        <v>347.43658158</v>
      </c>
      <c r="P67" s="17">
        <v>497</v>
      </c>
      <c r="Q67" s="10">
        <f t="shared" ref="Q67:Q81" si="10">O67/P67</f>
        <v>0.6990675685714286</v>
      </c>
      <c r="R67" s="15">
        <v>267.16970961895731</v>
      </c>
      <c r="S67" s="17">
        <v>432</v>
      </c>
      <c r="T67" s="10">
        <f t="shared" ref="T67:T81" si="11">R67/S67</f>
        <v>0.61844840189573447</v>
      </c>
      <c r="U67" s="15">
        <v>347.21179306855117</v>
      </c>
      <c r="V67" s="17">
        <v>502</v>
      </c>
      <c r="W67" s="10">
        <f t="shared" ref="W67:W81" si="12">U67/V67</f>
        <v>0.69165695830388685</v>
      </c>
    </row>
    <row r="68" spans="1:23" x14ac:dyDescent="0.35">
      <c r="A68" s="6" t="s">
        <v>96</v>
      </c>
      <c r="B68" s="6" t="s">
        <v>70</v>
      </c>
      <c r="C68" s="6" t="s">
        <v>25</v>
      </c>
      <c r="E68" s="7">
        <f t="shared" ref="E68:E81" si="13">AVERAGE(H68,K68,N68,Q68,T68,W68)</f>
        <v>0.52168923833329572</v>
      </c>
      <c r="F68" s="15">
        <v>283.04343618666667</v>
      </c>
      <c r="G68" s="17">
        <v>571</v>
      </c>
      <c r="H68" s="10">
        <f t="shared" si="7"/>
        <v>0.4956977866666667</v>
      </c>
      <c r="I68" s="15">
        <v>316.12474110736838</v>
      </c>
      <c r="J68" s="17">
        <v>577</v>
      </c>
      <c r="K68" s="10">
        <f t="shared" si="8"/>
        <v>0.54787650105263153</v>
      </c>
      <c r="L68" s="15">
        <v>293.74741026750002</v>
      </c>
      <c r="M68" s="17">
        <v>602</v>
      </c>
      <c r="N68" s="10">
        <f t="shared" si="9"/>
        <v>0.48795250875000001</v>
      </c>
      <c r="O68" s="15">
        <v>331</v>
      </c>
      <c r="P68" s="17">
        <v>598</v>
      </c>
      <c r="Q68" s="10">
        <f t="shared" si="10"/>
        <v>0.55351170568561869</v>
      </c>
      <c r="R68" s="15">
        <v>306.36942350331753</v>
      </c>
      <c r="S68" s="17">
        <v>621</v>
      </c>
      <c r="T68" s="10">
        <f t="shared" si="11"/>
        <v>0.49334850805687203</v>
      </c>
      <c r="U68" s="15">
        <v>332.70429713215543</v>
      </c>
      <c r="V68" s="17">
        <v>603</v>
      </c>
      <c r="W68" s="10">
        <f t="shared" si="12"/>
        <v>0.55174841978798583</v>
      </c>
    </row>
    <row r="69" spans="1:23" x14ac:dyDescent="0.35">
      <c r="A69" s="6" t="s">
        <v>97</v>
      </c>
      <c r="B69" s="6" t="s">
        <v>70</v>
      </c>
      <c r="C69" s="6" t="s">
        <v>25</v>
      </c>
      <c r="E69" s="7">
        <f t="shared" si="13"/>
        <v>0.5979826865970379</v>
      </c>
      <c r="F69" s="15">
        <v>219.59856423428567</v>
      </c>
      <c r="G69" s="17">
        <v>387</v>
      </c>
      <c r="H69" s="10">
        <f t="shared" si="7"/>
        <v>0.56743815047619039</v>
      </c>
      <c r="I69" s="15">
        <v>268.42811034105262</v>
      </c>
      <c r="J69" s="17">
        <v>428</v>
      </c>
      <c r="K69" s="10">
        <f t="shared" si="8"/>
        <v>0.6271684821052631</v>
      </c>
      <c r="L69" s="15">
        <v>226.22163139687495</v>
      </c>
      <c r="M69" s="17">
        <v>405</v>
      </c>
      <c r="N69" s="10">
        <f t="shared" si="9"/>
        <v>0.55857192937499989</v>
      </c>
      <c r="O69" s="15">
        <v>249.60185644071427</v>
      </c>
      <c r="P69" s="17">
        <v>391</v>
      </c>
      <c r="Q69" s="10">
        <f t="shared" si="10"/>
        <v>0.63836791928571424</v>
      </c>
      <c r="R69" s="15">
        <v>213.47507291374404</v>
      </c>
      <c r="S69" s="17">
        <v>378</v>
      </c>
      <c r="T69" s="10">
        <f t="shared" si="11"/>
        <v>0.56474887014218</v>
      </c>
      <c r="U69" s="15">
        <v>264.00912110671374</v>
      </c>
      <c r="V69" s="17">
        <v>418</v>
      </c>
      <c r="W69" s="10">
        <f t="shared" si="12"/>
        <v>0.6316007681978798</v>
      </c>
    </row>
    <row r="70" spans="1:23" x14ac:dyDescent="0.35">
      <c r="A70" s="6" t="s">
        <v>98</v>
      </c>
      <c r="B70" s="6" t="s">
        <v>70</v>
      </c>
      <c r="C70" s="6" t="s">
        <v>25</v>
      </c>
      <c r="E70" s="7">
        <f t="shared" si="13"/>
        <v>0.51976579156132086</v>
      </c>
      <c r="F70" s="15">
        <v>347.42712620571427</v>
      </c>
      <c r="G70" s="17">
        <v>702</v>
      </c>
      <c r="H70" s="10">
        <f t="shared" si="7"/>
        <v>0.4949104361904762</v>
      </c>
      <c r="I70" s="15">
        <v>319.45166260210522</v>
      </c>
      <c r="J70" s="17">
        <v>584</v>
      </c>
      <c r="K70" s="10">
        <f t="shared" si="8"/>
        <v>0.54700627157894732</v>
      </c>
      <c r="L70" s="15">
        <v>308.87051003624998</v>
      </c>
      <c r="M70" s="17">
        <v>634</v>
      </c>
      <c r="N70" s="10">
        <f t="shared" si="9"/>
        <v>0.48717746062499995</v>
      </c>
      <c r="O70" s="15">
        <v>326</v>
      </c>
      <c r="P70" s="17">
        <v>597</v>
      </c>
      <c r="Q70" s="10">
        <f t="shared" si="10"/>
        <v>0.54606365159128978</v>
      </c>
      <c r="R70" s="15">
        <v>308.83818546540283</v>
      </c>
      <c r="S70" s="17">
        <v>627</v>
      </c>
      <c r="T70" s="10">
        <f t="shared" si="11"/>
        <v>0.49256488909952606</v>
      </c>
      <c r="U70" s="15">
        <v>320.05665540424025</v>
      </c>
      <c r="V70" s="17">
        <v>581</v>
      </c>
      <c r="W70" s="10">
        <f t="shared" si="12"/>
        <v>0.55087204028268544</v>
      </c>
    </row>
    <row r="71" spans="1:23" x14ac:dyDescent="0.35">
      <c r="A71" s="6" t="s">
        <v>99</v>
      </c>
      <c r="B71" s="6" t="s">
        <v>70</v>
      </c>
      <c r="C71" s="6" t="s">
        <v>25</v>
      </c>
      <c r="E71" s="7">
        <f t="shared" si="13"/>
        <v>0.59349001200955953</v>
      </c>
      <c r="F71" s="15">
        <v>256.01810255142857</v>
      </c>
      <c r="G71" s="17">
        <v>453</v>
      </c>
      <c r="H71" s="10">
        <f t="shared" si="7"/>
        <v>0.56516137428571434</v>
      </c>
      <c r="I71" s="15">
        <v>376.66518329368421</v>
      </c>
      <c r="J71" s="17">
        <v>603</v>
      </c>
      <c r="K71" s="10">
        <f t="shared" si="8"/>
        <v>0.62465204526315787</v>
      </c>
      <c r="L71" s="15">
        <v>290.40463991812499</v>
      </c>
      <c r="M71" s="17">
        <v>522</v>
      </c>
      <c r="N71" s="10">
        <f t="shared" si="9"/>
        <v>0.55633072781249993</v>
      </c>
      <c r="O71" s="15">
        <v>311</v>
      </c>
      <c r="P71" s="17">
        <v>499</v>
      </c>
      <c r="Q71" s="10">
        <f t="shared" si="10"/>
        <v>0.6232464929859719</v>
      </c>
      <c r="R71" s="15">
        <v>236.8052943156398</v>
      </c>
      <c r="S71" s="17">
        <v>421</v>
      </c>
      <c r="T71" s="10">
        <f t="shared" si="11"/>
        <v>0.56248288436018956</v>
      </c>
      <c r="U71" s="15">
        <v>337.1796693795053</v>
      </c>
      <c r="V71" s="17">
        <v>536</v>
      </c>
      <c r="W71" s="10">
        <f t="shared" si="12"/>
        <v>0.62906654734982337</v>
      </c>
    </row>
    <row r="72" spans="1:23" x14ac:dyDescent="0.35">
      <c r="A72" s="6" t="s">
        <v>100</v>
      </c>
      <c r="B72" s="6" t="s">
        <v>81</v>
      </c>
      <c r="C72" s="6" t="s">
        <v>25</v>
      </c>
      <c r="E72" s="7">
        <f t="shared" si="13"/>
        <v>0.61483766636790926</v>
      </c>
      <c r="F72" s="15">
        <v>290.90277761999999</v>
      </c>
      <c r="G72" s="17">
        <v>497</v>
      </c>
      <c r="H72" s="10">
        <f t="shared" si="7"/>
        <v>0.58531745999999996</v>
      </c>
      <c r="I72" s="15">
        <v>341</v>
      </c>
      <c r="J72" s="17">
        <v>537</v>
      </c>
      <c r="K72" s="10">
        <f t="shared" si="8"/>
        <v>0.63500931098696467</v>
      </c>
      <c r="L72" s="15">
        <v>347.43164043656247</v>
      </c>
      <c r="M72" s="17">
        <v>603</v>
      </c>
      <c r="N72" s="10">
        <f t="shared" si="9"/>
        <v>0.57617187468749997</v>
      </c>
      <c r="O72" s="15">
        <v>340.4352676725</v>
      </c>
      <c r="P72" s="17">
        <v>517</v>
      </c>
      <c r="Q72" s="10">
        <f t="shared" si="10"/>
        <v>0.65848214250000003</v>
      </c>
      <c r="R72" s="15">
        <v>273.2128750492891</v>
      </c>
      <c r="S72" s="17">
        <v>469</v>
      </c>
      <c r="T72" s="10">
        <f t="shared" si="11"/>
        <v>0.58254344360189569</v>
      </c>
      <c r="U72" s="15">
        <v>332.91740264628976</v>
      </c>
      <c r="V72" s="17">
        <v>511</v>
      </c>
      <c r="W72" s="10">
        <f t="shared" si="12"/>
        <v>0.65150176643109536</v>
      </c>
    </row>
    <row r="73" spans="1:23" x14ac:dyDescent="0.35">
      <c r="A73" s="6" t="s">
        <v>101</v>
      </c>
      <c r="B73" s="6" t="s">
        <v>81</v>
      </c>
      <c r="C73" s="6" t="s">
        <v>25</v>
      </c>
      <c r="E73" s="7">
        <f t="shared" si="13"/>
        <v>0.57016038096608457</v>
      </c>
      <c r="F73" s="15">
        <v>231.28787895999997</v>
      </c>
      <c r="G73" s="17">
        <v>426</v>
      </c>
      <c r="H73" s="10">
        <f t="shared" si="7"/>
        <v>0.54292929333333328</v>
      </c>
      <c r="I73" s="15">
        <v>287</v>
      </c>
      <c r="J73" s="17">
        <v>488</v>
      </c>
      <c r="K73" s="10">
        <f t="shared" si="8"/>
        <v>0.58811475409836067</v>
      </c>
      <c r="L73" s="15">
        <v>242.10404847562501</v>
      </c>
      <c r="M73" s="17">
        <v>453</v>
      </c>
      <c r="N73" s="10">
        <f t="shared" si="9"/>
        <v>0.534446023125</v>
      </c>
      <c r="O73" s="15">
        <v>309.67329568499997</v>
      </c>
      <c r="P73" s="17">
        <v>507</v>
      </c>
      <c r="Q73" s="10">
        <f t="shared" si="10"/>
        <v>0.61079545499999999</v>
      </c>
      <c r="R73" s="15">
        <v>209.11783729478674</v>
      </c>
      <c r="S73" s="17">
        <v>387</v>
      </c>
      <c r="T73" s="10">
        <f t="shared" si="11"/>
        <v>0.54035616872037917</v>
      </c>
      <c r="U73" s="15">
        <v>258.64921317031803</v>
      </c>
      <c r="V73" s="17">
        <v>428</v>
      </c>
      <c r="W73" s="10">
        <f t="shared" si="12"/>
        <v>0.60432059151943462</v>
      </c>
    </row>
    <row r="74" spans="1:23" x14ac:dyDescent="0.35">
      <c r="A74" s="6" t="s">
        <v>102</v>
      </c>
      <c r="B74" s="6" t="s">
        <v>81</v>
      </c>
      <c r="C74" s="6" t="s">
        <v>25</v>
      </c>
      <c r="E74" s="7">
        <f t="shared" si="13"/>
        <v>0.54861485096507101</v>
      </c>
      <c r="F74" s="15">
        <v>207.5734043742857</v>
      </c>
      <c r="G74" s="17">
        <v>397</v>
      </c>
      <c r="H74" s="10">
        <f t="shared" si="7"/>
        <v>0.52285492285714286</v>
      </c>
      <c r="I74" s="15">
        <v>195</v>
      </c>
      <c r="J74" s="17">
        <v>346</v>
      </c>
      <c r="K74" s="10">
        <f t="shared" si="8"/>
        <v>0.56358381502890176</v>
      </c>
      <c r="L74" s="15">
        <v>209.99160839250001</v>
      </c>
      <c r="M74" s="17">
        <v>408</v>
      </c>
      <c r="N74" s="10">
        <f t="shared" si="9"/>
        <v>0.51468531468750001</v>
      </c>
      <c r="O74" s="15">
        <v>215.28551448642858</v>
      </c>
      <c r="P74" s="17">
        <v>366</v>
      </c>
      <c r="Q74" s="10">
        <f t="shared" si="10"/>
        <v>0.58821178821428577</v>
      </c>
      <c r="R74" s="15">
        <v>203.46738253933648</v>
      </c>
      <c r="S74" s="17">
        <v>391</v>
      </c>
      <c r="T74" s="10">
        <f t="shared" si="11"/>
        <v>0.5203769374407583</v>
      </c>
      <c r="U74" s="15">
        <v>245.01203390353359</v>
      </c>
      <c r="V74" s="17">
        <v>421</v>
      </c>
      <c r="W74" s="10">
        <f t="shared" si="12"/>
        <v>0.58197632756183748</v>
      </c>
    </row>
    <row r="75" spans="1:23" x14ac:dyDescent="0.35">
      <c r="A75" s="6" t="s">
        <v>103</v>
      </c>
      <c r="B75" s="6" t="s">
        <v>81</v>
      </c>
      <c r="C75" s="6" t="s">
        <v>25</v>
      </c>
      <c r="E75" s="7">
        <f t="shared" si="13"/>
        <v>0.6097910153408862</v>
      </c>
      <c r="F75" s="15">
        <v>300.84523830666666</v>
      </c>
      <c r="G75" s="17">
        <v>518</v>
      </c>
      <c r="H75" s="10">
        <f t="shared" si="7"/>
        <v>0.5807823133333333</v>
      </c>
      <c r="I75" s="15">
        <v>301</v>
      </c>
      <c r="J75" s="17">
        <v>479</v>
      </c>
      <c r="K75" s="10">
        <f t="shared" si="8"/>
        <v>0.62839248434237993</v>
      </c>
      <c r="L75" s="15">
        <v>290.99916315093748</v>
      </c>
      <c r="M75" s="17">
        <v>509</v>
      </c>
      <c r="N75" s="10">
        <f t="shared" si="9"/>
        <v>0.57170758968749991</v>
      </c>
      <c r="O75" s="15">
        <v>326.03667114749999</v>
      </c>
      <c r="P75" s="17">
        <v>499</v>
      </c>
      <c r="Q75" s="10">
        <f t="shared" si="10"/>
        <v>0.6533801025</v>
      </c>
      <c r="R75" s="15">
        <v>293.06110379431277</v>
      </c>
      <c r="S75" s="17">
        <v>507</v>
      </c>
      <c r="T75" s="10">
        <f t="shared" si="11"/>
        <v>0.57802979052132697</v>
      </c>
      <c r="U75" s="15">
        <v>282.5003156957597</v>
      </c>
      <c r="V75" s="17">
        <v>437</v>
      </c>
      <c r="W75" s="10">
        <f t="shared" si="12"/>
        <v>0.64645381166077731</v>
      </c>
    </row>
    <row r="76" spans="1:23" x14ac:dyDescent="0.35">
      <c r="A76" s="6" t="s">
        <v>104</v>
      </c>
      <c r="B76" s="6" t="s">
        <v>81</v>
      </c>
      <c r="C76" s="6" t="s">
        <v>25</v>
      </c>
      <c r="E76" s="7">
        <f t="shared" si="13"/>
        <v>0.47028897707778244</v>
      </c>
      <c r="F76" s="15">
        <v>270.42682038095239</v>
      </c>
      <c r="G76" s="17">
        <v>604</v>
      </c>
      <c r="H76" s="10">
        <f t="shared" si="7"/>
        <v>0.44772652380952382</v>
      </c>
      <c r="I76" s="15">
        <v>272</v>
      </c>
      <c r="J76" s="17">
        <v>554</v>
      </c>
      <c r="K76" s="10">
        <f t="shared" si="8"/>
        <v>0.49097472924187724</v>
      </c>
      <c r="L76" s="15">
        <v>269.28651689062502</v>
      </c>
      <c r="M76" s="17">
        <v>611</v>
      </c>
      <c r="N76" s="10">
        <f t="shared" si="9"/>
        <v>0.44073079687500005</v>
      </c>
      <c r="O76" s="15">
        <v>301</v>
      </c>
      <c r="P76" s="17">
        <v>604</v>
      </c>
      <c r="Q76" s="10">
        <f t="shared" si="10"/>
        <v>0.49834437086092714</v>
      </c>
      <c r="R76" s="15">
        <v>255.77703876777252</v>
      </c>
      <c r="S76" s="17">
        <v>574</v>
      </c>
      <c r="T76" s="10">
        <f t="shared" si="11"/>
        <v>0.44560459715639811</v>
      </c>
      <c r="U76" s="15">
        <v>274.59241733215549</v>
      </c>
      <c r="V76" s="17">
        <v>551</v>
      </c>
      <c r="W76" s="10">
        <f t="shared" si="12"/>
        <v>0.49835284452296824</v>
      </c>
    </row>
    <row r="77" spans="1:23" x14ac:dyDescent="0.35">
      <c r="A77" s="6" t="s">
        <v>105</v>
      </c>
      <c r="B77" s="6" t="s">
        <v>81</v>
      </c>
      <c r="C77" s="6" t="s">
        <v>25</v>
      </c>
      <c r="E77" s="7">
        <f t="shared" si="13"/>
        <v>0.63192744216445151</v>
      </c>
      <c r="F77" s="15">
        <v>318.03346792761909</v>
      </c>
      <c r="G77" s="17">
        <v>529</v>
      </c>
      <c r="H77" s="10">
        <f t="shared" si="7"/>
        <v>0.60119748190476197</v>
      </c>
      <c r="I77" s="15">
        <v>328</v>
      </c>
      <c r="J77" s="17">
        <v>501</v>
      </c>
      <c r="K77" s="10">
        <f t="shared" si="8"/>
        <v>0.65469061876247503</v>
      </c>
      <c r="L77" s="15">
        <v>339.69536469749994</v>
      </c>
      <c r="M77" s="17">
        <v>574</v>
      </c>
      <c r="N77" s="10">
        <f t="shared" si="9"/>
        <v>0.59180377124999994</v>
      </c>
      <c r="O77" s="15">
        <v>332.76280623428579</v>
      </c>
      <c r="P77" s="17">
        <v>492</v>
      </c>
      <c r="Q77" s="10">
        <f t="shared" si="10"/>
        <v>0.67634716714285725</v>
      </c>
      <c r="R77" s="15">
        <v>275.83852238483411</v>
      </c>
      <c r="S77" s="17">
        <v>461</v>
      </c>
      <c r="T77" s="10">
        <f t="shared" si="11"/>
        <v>0.59834820473933648</v>
      </c>
      <c r="U77" s="15">
        <v>352.65649464169616</v>
      </c>
      <c r="V77" s="17">
        <v>527</v>
      </c>
      <c r="W77" s="10">
        <f t="shared" si="12"/>
        <v>0.66917740918727919</v>
      </c>
    </row>
    <row r="78" spans="1:23" x14ac:dyDescent="0.35">
      <c r="A78" s="6" t="s">
        <v>106</v>
      </c>
      <c r="B78" s="6" t="s">
        <v>81</v>
      </c>
      <c r="C78" s="6" t="s">
        <v>25</v>
      </c>
      <c r="E78" s="7">
        <f t="shared" si="13"/>
        <v>0.50039944114962764</v>
      </c>
      <c r="F78" s="15">
        <v>235.49430292761906</v>
      </c>
      <c r="G78" s="17">
        <v>494</v>
      </c>
      <c r="H78" s="10">
        <f t="shared" si="7"/>
        <v>0.47670911523809528</v>
      </c>
      <c r="I78" s="15">
        <v>300.8536316221053</v>
      </c>
      <c r="J78" s="17">
        <v>571</v>
      </c>
      <c r="K78" s="10">
        <f t="shared" si="8"/>
        <v>0.52688902210526323</v>
      </c>
      <c r="L78" s="15">
        <v>250.58512585687501</v>
      </c>
      <c r="M78" s="17">
        <v>534</v>
      </c>
      <c r="N78" s="10">
        <f t="shared" si="9"/>
        <v>0.4692605353125</v>
      </c>
      <c r="O78" s="15">
        <v>300</v>
      </c>
      <c r="P78" s="17">
        <v>572</v>
      </c>
      <c r="Q78" s="10">
        <f t="shared" si="10"/>
        <v>0.52447552447552448</v>
      </c>
      <c r="R78" s="15">
        <v>249.56061075450239</v>
      </c>
      <c r="S78" s="17">
        <v>526</v>
      </c>
      <c r="T78" s="10">
        <f t="shared" si="11"/>
        <v>0.47444983033175359</v>
      </c>
      <c r="U78" s="15">
        <v>258.40834566466435</v>
      </c>
      <c r="V78" s="17">
        <v>487</v>
      </c>
      <c r="W78" s="10">
        <f t="shared" si="12"/>
        <v>0.53061261943462901</v>
      </c>
    </row>
    <row r="79" spans="1:23" x14ac:dyDescent="0.35">
      <c r="A79" s="6" t="s">
        <v>107</v>
      </c>
      <c r="B79" s="6" t="s">
        <v>81</v>
      </c>
      <c r="C79" s="6" t="s">
        <v>25</v>
      </c>
      <c r="E79" s="7">
        <f t="shared" si="13"/>
        <v>0.56771077731902009</v>
      </c>
      <c r="F79" s="15">
        <v>288.4371111257143</v>
      </c>
      <c r="G79" s="17">
        <v>534</v>
      </c>
      <c r="H79" s="10">
        <f t="shared" si="7"/>
        <v>0.54014440285714282</v>
      </c>
      <c r="I79" s="15">
        <v>361</v>
      </c>
      <c r="J79" s="17">
        <v>614</v>
      </c>
      <c r="K79" s="10">
        <f t="shared" si="8"/>
        <v>0.58794788273615639</v>
      </c>
      <c r="L79" s="15">
        <v>336.56904127406244</v>
      </c>
      <c r="M79" s="17">
        <v>633</v>
      </c>
      <c r="N79" s="10">
        <f t="shared" si="9"/>
        <v>0.53170464656249994</v>
      </c>
      <c r="O79" s="15">
        <v>351.22889795785716</v>
      </c>
      <c r="P79" s="17">
        <v>578</v>
      </c>
      <c r="Q79" s="10">
        <f t="shared" si="10"/>
        <v>0.60766245321428569</v>
      </c>
      <c r="R79" s="15">
        <v>269.32982286540283</v>
      </c>
      <c r="S79" s="17">
        <v>501</v>
      </c>
      <c r="T79" s="10">
        <f t="shared" si="11"/>
        <v>0.53758447677725119</v>
      </c>
      <c r="U79" s="15">
        <v>362.53614346537097</v>
      </c>
      <c r="V79" s="17">
        <v>603</v>
      </c>
      <c r="W79" s="10">
        <f t="shared" si="12"/>
        <v>0.60122080176678439</v>
      </c>
    </row>
    <row r="80" spans="1:23" x14ac:dyDescent="0.35">
      <c r="A80" s="6" t="s">
        <v>108</v>
      </c>
      <c r="B80" s="6" t="s">
        <v>81</v>
      </c>
      <c r="C80" s="6" t="s">
        <v>25</v>
      </c>
      <c r="E80" s="7">
        <f t="shared" si="13"/>
        <v>0.46641919542640586</v>
      </c>
      <c r="F80" s="15">
        <v>167.08095674666669</v>
      </c>
      <c r="G80" s="17">
        <v>376</v>
      </c>
      <c r="H80" s="10">
        <f t="shared" si="7"/>
        <v>0.44436424666666674</v>
      </c>
      <c r="I80" s="15">
        <v>201.85830594631577</v>
      </c>
      <c r="J80" s="17">
        <v>411</v>
      </c>
      <c r="K80" s="10">
        <f t="shared" si="8"/>
        <v>0.49113943052631576</v>
      </c>
      <c r="L80" s="15">
        <v>191.15300117156249</v>
      </c>
      <c r="M80" s="17">
        <v>437</v>
      </c>
      <c r="N80" s="10">
        <f t="shared" si="9"/>
        <v>0.43742105531249997</v>
      </c>
      <c r="O80" s="15">
        <v>195</v>
      </c>
      <c r="P80" s="17">
        <v>399</v>
      </c>
      <c r="Q80" s="10">
        <f t="shared" si="10"/>
        <v>0.48872180451127817</v>
      </c>
      <c r="R80" s="15">
        <v>181.76814279526064</v>
      </c>
      <c r="S80" s="17">
        <v>411</v>
      </c>
      <c r="T80" s="10">
        <f t="shared" si="11"/>
        <v>0.44225825497630328</v>
      </c>
      <c r="U80" s="15">
        <v>189.93038613710246</v>
      </c>
      <c r="V80" s="17">
        <v>384</v>
      </c>
      <c r="W80" s="10">
        <f t="shared" si="12"/>
        <v>0.49461038056537099</v>
      </c>
    </row>
    <row r="81" spans="1:23" x14ac:dyDescent="0.35">
      <c r="A81" s="6" t="s">
        <v>109</v>
      </c>
      <c r="B81" s="6" t="s">
        <v>81</v>
      </c>
      <c r="C81" s="6" t="s">
        <v>25</v>
      </c>
      <c r="E81" s="7">
        <f t="shared" si="13"/>
        <v>0.4692805595341451</v>
      </c>
      <c r="F81" s="15">
        <v>200.21655680000001</v>
      </c>
      <c r="G81" s="17">
        <v>448</v>
      </c>
      <c r="H81" s="10">
        <f t="shared" si="7"/>
        <v>0.44691195714285714</v>
      </c>
      <c r="I81" s="15">
        <v>196.10026245789473</v>
      </c>
      <c r="J81" s="17">
        <v>397</v>
      </c>
      <c r="K81" s="10">
        <f t="shared" si="8"/>
        <v>0.49395532105263157</v>
      </c>
      <c r="L81" s="15">
        <v>187.84966498593749</v>
      </c>
      <c r="M81" s="17">
        <v>427</v>
      </c>
      <c r="N81" s="10">
        <f t="shared" si="9"/>
        <v>0.43992895781249997</v>
      </c>
      <c r="O81" s="15">
        <v>201</v>
      </c>
      <c r="P81" s="17">
        <v>408</v>
      </c>
      <c r="Q81" s="10">
        <f t="shared" si="10"/>
        <v>0.49264705882352944</v>
      </c>
      <c r="R81" s="15">
        <v>214.83544935071092</v>
      </c>
      <c r="S81" s="17">
        <v>483</v>
      </c>
      <c r="T81" s="10">
        <f t="shared" si="11"/>
        <v>0.44479389099526068</v>
      </c>
      <c r="U81" s="15">
        <v>195.99379152296817</v>
      </c>
      <c r="V81" s="17">
        <v>394</v>
      </c>
      <c r="W81" s="10">
        <f t="shared" si="12"/>
        <v>0.49744617137809177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Stec, Helen</dc:creator>
  <cp:lastModifiedBy>Stec, Helen</cp:lastModifiedBy>
  <dcterms:created xsi:type="dcterms:W3CDTF">2026-01-21T02:14:56Z</dcterms:created>
  <dcterms:modified xsi:type="dcterms:W3CDTF">2026-01-21T02:16:27Z</dcterms:modified>
</cp:coreProperties>
</file>